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02a67f3f3acd8/ACI/Repositories/Costim---Secondary-Analysis/data/202405_data/"/>
    </mc:Choice>
  </mc:AlternateContent>
  <xr:revisionPtr revIDLastSave="331" documentId="8_{678B78BF-0D88-2F4E-B136-DC08F57DC711}" xr6:coauthVersionLast="47" xr6:coauthVersionMax="47" xr10:uidLastSave="{F8712D73-CEC1-8F45-9244-669761FB24C8}"/>
  <bookViews>
    <workbookView xWindow="680" yWindow="740" windowWidth="28040" windowHeight="17260" activeTab="1" xr2:uid="{EA4DC182-E23F-F747-9979-3BEC2053EBE0}"/>
  </bookViews>
  <sheets>
    <sheet name="HV1" sheetId="1" r:id="rId1"/>
    <sheet name="HV2" sheetId="2" r:id="rId2"/>
  </sheets>
  <definedNames>
    <definedName name="_xlnm.Print_Area" localSheetId="0">'HV1'!$A$1:$I$73</definedName>
    <definedName name="_xlnm.Print_Area" localSheetId="1">'HV2'!$A$1:$I$73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" i="2" l="1"/>
  <c r="A72" i="2"/>
  <c r="A71" i="2"/>
  <c r="A70" i="2"/>
  <c r="G69" i="2"/>
  <c r="A69" i="2"/>
  <c r="G68" i="2"/>
  <c r="A68" i="2"/>
  <c r="A67" i="2"/>
  <c r="A66" i="2"/>
  <c r="A65" i="2"/>
  <c r="A64" i="2"/>
  <c r="G63" i="2"/>
  <c r="A63" i="2"/>
  <c r="G62" i="2"/>
  <c r="A62" i="2"/>
  <c r="A61" i="2"/>
  <c r="A60" i="2"/>
  <c r="A59" i="2"/>
  <c r="A58" i="2"/>
  <c r="G57" i="2"/>
  <c r="A57" i="2"/>
  <c r="G56" i="2"/>
  <c r="A56" i="2"/>
  <c r="A55" i="2"/>
  <c r="A54" i="2"/>
  <c r="A53" i="2"/>
  <c r="A52" i="2"/>
  <c r="G51" i="2"/>
  <c r="A51" i="2"/>
  <c r="G50" i="2"/>
  <c r="A50" i="2"/>
  <c r="A49" i="2"/>
  <c r="A48" i="2"/>
  <c r="A47" i="2"/>
  <c r="A46" i="2"/>
  <c r="G45" i="2"/>
  <c r="A45" i="2"/>
  <c r="G44" i="2"/>
  <c r="A44" i="2"/>
  <c r="A43" i="2"/>
  <c r="A42" i="2"/>
  <c r="A41" i="2"/>
  <c r="A40" i="2"/>
  <c r="G39" i="2"/>
  <c r="A39" i="2"/>
  <c r="G38" i="2"/>
  <c r="A38" i="2"/>
  <c r="A37" i="2"/>
  <c r="A36" i="2"/>
  <c r="A35" i="2"/>
  <c r="A34" i="2"/>
  <c r="G33" i="2"/>
  <c r="A33" i="2"/>
  <c r="G32" i="2"/>
  <c r="A32" i="2"/>
  <c r="A31" i="2"/>
  <c r="A30" i="2"/>
  <c r="A29" i="2"/>
  <c r="A28" i="2"/>
  <c r="G27" i="2"/>
  <c r="A27" i="2"/>
  <c r="G26" i="2"/>
  <c r="A26" i="2"/>
  <c r="A25" i="2"/>
  <c r="A24" i="2"/>
  <c r="A23" i="2"/>
  <c r="A22" i="2"/>
  <c r="G21" i="2"/>
  <c r="A21" i="2"/>
  <c r="G20" i="2"/>
  <c r="A20" i="2"/>
  <c r="A19" i="2"/>
  <c r="A18" i="2"/>
  <c r="A17" i="2"/>
  <c r="A16" i="2"/>
  <c r="G15" i="2"/>
  <c r="A15" i="2"/>
  <c r="G14" i="2"/>
  <c r="A14" i="2"/>
  <c r="A13" i="2"/>
  <c r="A12" i="2"/>
  <c r="A11" i="2"/>
  <c r="A10" i="2"/>
  <c r="G9" i="2"/>
  <c r="A9" i="2"/>
  <c r="G8" i="2"/>
  <c r="A8" i="2"/>
  <c r="A7" i="2"/>
  <c r="A6" i="2"/>
  <c r="A5" i="2"/>
  <c r="A4" i="2"/>
  <c r="G3" i="2"/>
  <c r="A3" i="2"/>
  <c r="G2" i="2"/>
  <c r="A2" i="2"/>
  <c r="G39" i="1"/>
  <c r="G69" i="1"/>
  <c r="G68" i="1"/>
  <c r="G63" i="1"/>
  <c r="G62" i="1"/>
  <c r="G57" i="1"/>
  <c r="G56" i="1"/>
  <c r="G51" i="1"/>
  <c r="G50" i="1"/>
  <c r="G45" i="1"/>
  <c r="G44" i="1"/>
  <c r="G38" i="1"/>
  <c r="G33" i="1"/>
  <c r="G32" i="1"/>
  <c r="G27" i="1"/>
  <c r="G26" i="1"/>
  <c r="G21" i="1"/>
  <c r="G20" i="1"/>
  <c r="G15" i="1"/>
  <c r="G14" i="1"/>
  <c r="G9" i="1"/>
  <c r="G8" i="1"/>
  <c r="G3" i="1"/>
  <c r="G2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19" i="1"/>
  <c r="A18" i="1"/>
  <c r="A17" i="1"/>
  <c r="A16" i="1"/>
  <c r="A15" i="1"/>
  <c r="A14" i="1"/>
  <c r="A13" i="1"/>
  <c r="A12" i="1"/>
  <c r="A11" i="1"/>
  <c r="A10" i="1"/>
  <c r="A9" i="1"/>
  <c r="A8" i="1"/>
  <c r="A3" i="1"/>
  <c r="A4" i="1"/>
  <c r="A5" i="1"/>
  <c r="A6" i="1"/>
  <c r="A7" i="1"/>
  <c r="A2" i="1"/>
</calcChain>
</file>

<file path=xl/sharedStrings.xml><?xml version="1.0" encoding="utf-8"?>
<sst xmlns="http://schemas.openxmlformats.org/spreadsheetml/2006/main" count="450" uniqueCount="17">
  <si>
    <t>Sample</t>
  </si>
  <si>
    <t>Exp Cond</t>
  </si>
  <si>
    <t>Number</t>
  </si>
  <si>
    <t>CAR</t>
  </si>
  <si>
    <t>Low</t>
  </si>
  <si>
    <t>High</t>
  </si>
  <si>
    <t>Replicate</t>
  </si>
  <si>
    <t>PD1 Status</t>
  </si>
  <si>
    <t>T subset</t>
  </si>
  <si>
    <t>Naïve</t>
  </si>
  <si>
    <t>EM</t>
  </si>
  <si>
    <t>CM</t>
  </si>
  <si>
    <t>HV</t>
  </si>
  <si>
    <t>Act CAR</t>
  </si>
  <si>
    <t>CAR:K562</t>
  </si>
  <si>
    <t>CAR:Raji</t>
  </si>
  <si>
    <t>Effector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</si>
</sst>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63377788628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rgb="FF00B0F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B0F0"/>
      </left>
      <right style="thin">
        <color auto="1"/>
      </right>
      <top style="thin">
        <color auto="1"/>
      </top>
      <bottom style="thick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00B0F0"/>
      </bottom>
      <diagonal/>
    </border>
    <border>
      <left style="thick">
        <color rgb="FF7030A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7030A0"/>
      </left>
      <right style="thin">
        <color auto="1"/>
      </right>
      <top style="thin">
        <color auto="1"/>
      </top>
      <bottom style="thick">
        <color rgb="FF703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7030A0"/>
      </bottom>
      <diagonal/>
    </border>
    <border>
      <left style="thick">
        <color rgb="FF00B0F0"/>
      </left>
      <right style="thin">
        <color auto="1"/>
      </right>
      <top/>
      <bottom style="thin">
        <color auto="1"/>
      </bottom>
      <diagonal/>
    </border>
    <border>
      <left style="thick">
        <color rgb="FF92D05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92D050"/>
      </left>
      <right style="thin">
        <color auto="1"/>
      </right>
      <top style="thin">
        <color auto="1"/>
      </top>
      <bottom style="thick">
        <color rgb="FF92D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92D050"/>
      </bottom>
      <diagonal/>
    </border>
    <border>
      <left style="thick">
        <color rgb="FF92D050"/>
      </left>
      <right style="thin">
        <color auto="1"/>
      </right>
      <top/>
      <bottom style="thin">
        <color auto="1"/>
      </bottom>
      <diagonal/>
    </border>
    <border>
      <left style="thick">
        <color rgb="FFFF0000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7030A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00B0F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7030A0"/>
      </bottom>
      <diagonal/>
    </border>
    <border>
      <left style="thin">
        <color auto="1"/>
      </left>
      <right/>
      <top style="thick">
        <color rgb="FFFF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rgb="FFFF0000"/>
      </bottom>
      <diagonal/>
    </border>
    <border>
      <left style="thin">
        <color auto="1"/>
      </left>
      <right/>
      <top style="thin">
        <color auto="1"/>
      </top>
      <bottom style="thick">
        <color rgb="FF92D05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/>
    <xf numFmtId="0" fontId="0" fillId="0" borderId="3" xfId="0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6" xfId="0" applyBorder="1"/>
    <xf numFmtId="0" fontId="2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9" xfId="0" applyBorder="1"/>
    <xf numFmtId="0" fontId="2" fillId="0" borderId="9" xfId="0" applyFont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0" fillId="0" borderId="13" xfId="0" applyBorder="1"/>
    <xf numFmtId="0" fontId="2" fillId="0" borderId="13" xfId="0" applyFont="1" applyBorder="1"/>
    <xf numFmtId="0" fontId="1" fillId="2" borderId="2" xfId="0" applyFont="1" applyFill="1" applyBorder="1"/>
    <xf numFmtId="0" fontId="1" fillId="3" borderId="14" xfId="0" applyFont="1" applyFill="1" applyBorder="1"/>
    <xf numFmtId="0" fontId="1" fillId="3" borderId="15" xfId="0" applyFont="1" applyFill="1" applyBorder="1"/>
    <xf numFmtId="0" fontId="0" fillId="0" borderId="16" xfId="0" applyBorder="1"/>
    <xf numFmtId="0" fontId="1" fillId="3" borderId="17" xfId="0" applyFont="1" applyFill="1" applyBorder="1"/>
    <xf numFmtId="0" fontId="1" fillId="3" borderId="18" xfId="0" applyFont="1" applyFill="1" applyBorder="1"/>
    <xf numFmtId="0" fontId="0" fillId="0" borderId="19" xfId="0" applyBorder="1"/>
    <xf numFmtId="0" fontId="2" fillId="0" borderId="19" xfId="0" applyFont="1" applyBorder="1"/>
    <xf numFmtId="0" fontId="1" fillId="3" borderId="20" xfId="0" applyFont="1" applyFill="1" applyBorder="1"/>
    <xf numFmtId="0" fontId="1" fillId="2" borderId="21" xfId="0" applyFont="1" applyFill="1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3" fontId="0" fillId="0" borderId="26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3" fontId="0" fillId="4" borderId="1" xfId="0" applyNumberFormat="1" applyFill="1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B52B8-6664-C849-89D7-D337BED5F423}">
  <sheetPr>
    <pageSetUpPr fitToPage="1"/>
  </sheetPr>
  <dimension ref="A1:I7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27" sqref="O27"/>
    </sheetView>
  </sheetViews>
  <sheetFormatPr baseColWidth="10" defaultRowHeight="16" x14ac:dyDescent="0.2"/>
  <cols>
    <col min="1" max="1" width="22.1640625" bestFit="1" customWidth="1"/>
    <col min="8" max="8" width="12.6640625" bestFit="1" customWidth="1"/>
  </cols>
  <sheetData>
    <row r="1" spans="1:9" ht="17" thickBot="1" x14ac:dyDescent="0.25">
      <c r="A1" s="18" t="s">
        <v>0</v>
      </c>
      <c r="B1" s="18" t="s">
        <v>1</v>
      </c>
      <c r="C1" s="18" t="s">
        <v>12</v>
      </c>
      <c r="D1" s="18" t="s">
        <v>8</v>
      </c>
      <c r="E1" s="18" t="s">
        <v>7</v>
      </c>
      <c r="F1" s="18" t="s">
        <v>6</v>
      </c>
      <c r="G1" s="18" t="s">
        <v>2</v>
      </c>
      <c r="H1" s="27" t="s">
        <v>9</v>
      </c>
      <c r="I1" s="27" t="s">
        <v>16</v>
      </c>
    </row>
    <row r="2" spans="1:9" ht="17" thickTop="1" x14ac:dyDescent="0.2">
      <c r="A2" s="20" t="str">
        <f>CONCATENATE(B2,"_", C2,"_", D2, "_", E2, "_", F2)</f>
        <v>CAR_1_Naïve_Low_1</v>
      </c>
      <c r="B2" s="21" t="s">
        <v>3</v>
      </c>
      <c r="C2" s="21">
        <v>1</v>
      </c>
      <c r="D2" s="21" t="s">
        <v>9</v>
      </c>
      <c r="E2" s="21" t="s">
        <v>4</v>
      </c>
      <c r="F2" s="21">
        <v>1</v>
      </c>
      <c r="G2" s="32">
        <f>H2+I2</f>
        <v>58723</v>
      </c>
      <c r="H2" s="3">
        <v>42933</v>
      </c>
      <c r="I2" s="3">
        <v>15790</v>
      </c>
    </row>
    <row r="3" spans="1:9" x14ac:dyDescent="0.2">
      <c r="A3" s="22" t="str">
        <f t="shared" ref="A3:A66" si="0">CONCATENATE(B3,"_", C3,"_", D3, "_", E3, "_", F3)</f>
        <v>CAR_1_Naïve_High_1</v>
      </c>
      <c r="B3" s="1" t="s">
        <v>3</v>
      </c>
      <c r="C3" s="1">
        <v>1</v>
      </c>
      <c r="D3" s="1" t="s">
        <v>9</v>
      </c>
      <c r="E3" s="1" t="s">
        <v>5</v>
      </c>
      <c r="F3" s="1">
        <v>1</v>
      </c>
      <c r="G3" s="28">
        <f>H3+I3</f>
        <v>7194</v>
      </c>
      <c r="H3" s="3">
        <v>3351</v>
      </c>
      <c r="I3" s="3">
        <v>3843</v>
      </c>
    </row>
    <row r="4" spans="1:9" x14ac:dyDescent="0.2">
      <c r="A4" s="22" t="str">
        <f t="shared" si="0"/>
        <v>CAR_1_EM_Low_1</v>
      </c>
      <c r="B4" s="1" t="s">
        <v>3</v>
      </c>
      <c r="C4" s="1">
        <v>1</v>
      </c>
      <c r="D4" s="1" t="s">
        <v>10</v>
      </c>
      <c r="E4" s="1" t="s">
        <v>4</v>
      </c>
      <c r="F4" s="1">
        <v>1</v>
      </c>
      <c r="G4" s="28">
        <v>19731</v>
      </c>
      <c r="H4" s="35"/>
      <c r="I4" s="35"/>
    </row>
    <row r="5" spans="1:9" x14ac:dyDescent="0.2">
      <c r="A5" s="22" t="str">
        <f t="shared" si="0"/>
        <v>CAR_1_EM_High_1</v>
      </c>
      <c r="B5" s="1" t="s">
        <v>3</v>
      </c>
      <c r="C5" s="1">
        <v>1</v>
      </c>
      <c r="D5" s="1" t="s">
        <v>10</v>
      </c>
      <c r="E5" s="1" t="s">
        <v>5</v>
      </c>
      <c r="F5" s="1">
        <v>1</v>
      </c>
      <c r="G5" s="28">
        <v>5054</v>
      </c>
      <c r="H5" s="35"/>
      <c r="I5" s="35"/>
    </row>
    <row r="6" spans="1:9" x14ac:dyDescent="0.2">
      <c r="A6" s="22" t="str">
        <f t="shared" si="0"/>
        <v>CAR_1_CM_Low_1</v>
      </c>
      <c r="B6" s="1" t="s">
        <v>3</v>
      </c>
      <c r="C6" s="1">
        <v>1</v>
      </c>
      <c r="D6" s="1" t="s">
        <v>11</v>
      </c>
      <c r="E6" s="2" t="s">
        <v>4</v>
      </c>
      <c r="F6" s="1">
        <v>1</v>
      </c>
      <c r="G6" s="28">
        <v>16166</v>
      </c>
      <c r="H6" s="35"/>
      <c r="I6" s="35"/>
    </row>
    <row r="7" spans="1:9" x14ac:dyDescent="0.2">
      <c r="A7" s="22" t="str">
        <f t="shared" si="0"/>
        <v>CAR_1_CM_High_1</v>
      </c>
      <c r="B7" s="1" t="s">
        <v>3</v>
      </c>
      <c r="C7" s="1">
        <v>1</v>
      </c>
      <c r="D7" s="1" t="s">
        <v>11</v>
      </c>
      <c r="E7" s="2" t="s">
        <v>5</v>
      </c>
      <c r="F7" s="1">
        <v>1</v>
      </c>
      <c r="G7" s="28">
        <v>8918</v>
      </c>
      <c r="H7" s="35"/>
      <c r="I7" s="35"/>
    </row>
    <row r="8" spans="1:9" x14ac:dyDescent="0.2">
      <c r="A8" s="22" t="str">
        <f t="shared" si="0"/>
        <v>CAR_1_Naïve_Low_2</v>
      </c>
      <c r="B8" s="1" t="s">
        <v>3</v>
      </c>
      <c r="C8" s="1">
        <v>1</v>
      </c>
      <c r="D8" s="1" t="s">
        <v>9</v>
      </c>
      <c r="E8" s="1" t="s">
        <v>4</v>
      </c>
      <c r="F8" s="1">
        <v>2</v>
      </c>
      <c r="G8" s="28">
        <f>H8+I8</f>
        <v>38827</v>
      </c>
      <c r="H8" s="3">
        <v>28484</v>
      </c>
      <c r="I8" s="3">
        <v>10343</v>
      </c>
    </row>
    <row r="9" spans="1:9" x14ac:dyDescent="0.2">
      <c r="A9" s="22" t="str">
        <f t="shared" si="0"/>
        <v>CAR_1_Naïve_High_2</v>
      </c>
      <c r="B9" s="1" t="s">
        <v>3</v>
      </c>
      <c r="C9" s="1">
        <v>1</v>
      </c>
      <c r="D9" s="1" t="s">
        <v>9</v>
      </c>
      <c r="E9" s="1" t="s">
        <v>5</v>
      </c>
      <c r="F9" s="1">
        <v>2</v>
      </c>
      <c r="G9" s="28">
        <f>H9+I9</f>
        <v>5256</v>
      </c>
      <c r="H9" s="3">
        <v>2523</v>
      </c>
      <c r="I9" s="3">
        <v>2733</v>
      </c>
    </row>
    <row r="10" spans="1:9" x14ac:dyDescent="0.2">
      <c r="A10" s="22" t="str">
        <f t="shared" si="0"/>
        <v>CAR_1_EM_Low_2</v>
      </c>
      <c r="B10" s="1" t="s">
        <v>3</v>
      </c>
      <c r="C10" s="1">
        <v>1</v>
      </c>
      <c r="D10" s="1" t="s">
        <v>10</v>
      </c>
      <c r="E10" s="1" t="s">
        <v>4</v>
      </c>
      <c r="F10" s="1">
        <v>2</v>
      </c>
      <c r="G10" s="28">
        <v>13031</v>
      </c>
      <c r="H10" s="35"/>
      <c r="I10" s="35"/>
    </row>
    <row r="11" spans="1:9" x14ac:dyDescent="0.2">
      <c r="A11" s="22" t="str">
        <f t="shared" si="0"/>
        <v>CAR_1_EM_High_2</v>
      </c>
      <c r="B11" s="1" t="s">
        <v>3</v>
      </c>
      <c r="C11" s="1">
        <v>1</v>
      </c>
      <c r="D11" s="1" t="s">
        <v>10</v>
      </c>
      <c r="E11" s="1" t="s">
        <v>5</v>
      </c>
      <c r="F11" s="1">
        <v>2</v>
      </c>
      <c r="G11" s="28">
        <v>3026</v>
      </c>
      <c r="H11" s="35"/>
      <c r="I11" s="35"/>
    </row>
    <row r="12" spans="1:9" x14ac:dyDescent="0.2">
      <c r="A12" s="22" t="str">
        <f t="shared" si="0"/>
        <v>CAR_1_CM_Low_2</v>
      </c>
      <c r="B12" s="1" t="s">
        <v>3</v>
      </c>
      <c r="C12" s="1">
        <v>1</v>
      </c>
      <c r="D12" s="1" t="s">
        <v>11</v>
      </c>
      <c r="E12" s="2" t="s">
        <v>4</v>
      </c>
      <c r="F12" s="1">
        <v>2</v>
      </c>
      <c r="G12" s="28">
        <v>11786</v>
      </c>
      <c r="H12" s="35"/>
      <c r="I12" s="35"/>
    </row>
    <row r="13" spans="1:9" x14ac:dyDescent="0.2">
      <c r="A13" s="22" t="str">
        <f t="shared" si="0"/>
        <v>CAR_1_CM_High_2</v>
      </c>
      <c r="B13" s="1" t="s">
        <v>3</v>
      </c>
      <c r="C13" s="1">
        <v>1</v>
      </c>
      <c r="D13" s="1" t="s">
        <v>11</v>
      </c>
      <c r="E13" s="2" t="s">
        <v>5</v>
      </c>
      <c r="F13" s="1">
        <v>2</v>
      </c>
      <c r="G13" s="28">
        <v>5791</v>
      </c>
      <c r="H13" s="35"/>
      <c r="I13" s="35"/>
    </row>
    <row r="14" spans="1:9" x14ac:dyDescent="0.2">
      <c r="A14" s="22" t="str">
        <f t="shared" si="0"/>
        <v>CAR_1_Naïve_Low_3</v>
      </c>
      <c r="B14" s="1" t="s">
        <v>3</v>
      </c>
      <c r="C14" s="1">
        <v>1</v>
      </c>
      <c r="D14" s="1" t="s">
        <v>9</v>
      </c>
      <c r="E14" s="1" t="s">
        <v>4</v>
      </c>
      <c r="F14" s="1">
        <v>3</v>
      </c>
      <c r="G14" s="28">
        <f>H14+I14</f>
        <v>54851</v>
      </c>
      <c r="H14" s="3">
        <v>40317</v>
      </c>
      <c r="I14" s="3">
        <v>14534</v>
      </c>
    </row>
    <row r="15" spans="1:9" x14ac:dyDescent="0.2">
      <c r="A15" s="22" t="str">
        <f t="shared" si="0"/>
        <v>CAR_1_Naïve_High_3</v>
      </c>
      <c r="B15" s="1" t="s">
        <v>3</v>
      </c>
      <c r="C15" s="1">
        <v>1</v>
      </c>
      <c r="D15" s="1" t="s">
        <v>9</v>
      </c>
      <c r="E15" s="1" t="s">
        <v>5</v>
      </c>
      <c r="F15" s="1">
        <v>3</v>
      </c>
      <c r="G15" s="28">
        <f>H15+I15</f>
        <v>7395</v>
      </c>
      <c r="H15" s="3">
        <v>3608</v>
      </c>
      <c r="I15" s="3">
        <v>3787</v>
      </c>
    </row>
    <row r="16" spans="1:9" x14ac:dyDescent="0.2">
      <c r="A16" s="22" t="str">
        <f t="shared" si="0"/>
        <v>CAR_1_EM_Low_3</v>
      </c>
      <c r="B16" s="1" t="s">
        <v>3</v>
      </c>
      <c r="C16" s="1">
        <v>1</v>
      </c>
      <c r="D16" s="1" t="s">
        <v>10</v>
      </c>
      <c r="E16" s="1" t="s">
        <v>4</v>
      </c>
      <c r="F16" s="1">
        <v>3</v>
      </c>
      <c r="G16" s="28">
        <v>16865</v>
      </c>
      <c r="H16" s="35"/>
      <c r="I16" s="35"/>
    </row>
    <row r="17" spans="1:9" x14ac:dyDescent="0.2">
      <c r="A17" s="22" t="str">
        <f t="shared" si="0"/>
        <v>CAR_1_EM_High_3</v>
      </c>
      <c r="B17" s="1" t="s">
        <v>3</v>
      </c>
      <c r="C17" s="1">
        <v>1</v>
      </c>
      <c r="D17" s="1" t="s">
        <v>10</v>
      </c>
      <c r="E17" s="1" t="s">
        <v>5</v>
      </c>
      <c r="F17" s="1">
        <v>3</v>
      </c>
      <c r="G17" s="28">
        <v>4334</v>
      </c>
      <c r="H17" s="35"/>
      <c r="I17" s="35"/>
    </row>
    <row r="18" spans="1:9" x14ac:dyDescent="0.2">
      <c r="A18" s="22" t="str">
        <f t="shared" si="0"/>
        <v>CAR_1_CM_Low_3</v>
      </c>
      <c r="B18" s="1" t="s">
        <v>3</v>
      </c>
      <c r="C18" s="1">
        <v>1</v>
      </c>
      <c r="D18" s="1" t="s">
        <v>11</v>
      </c>
      <c r="E18" s="2" t="s">
        <v>4</v>
      </c>
      <c r="F18" s="1">
        <v>3</v>
      </c>
      <c r="G18" s="28">
        <v>14021</v>
      </c>
      <c r="H18" s="35"/>
      <c r="I18" s="35"/>
    </row>
    <row r="19" spans="1:9" ht="17" thickBot="1" x14ac:dyDescent="0.25">
      <c r="A19" s="23" t="str">
        <f t="shared" si="0"/>
        <v>CAR_1_CM_High_3</v>
      </c>
      <c r="B19" s="24" t="s">
        <v>3</v>
      </c>
      <c r="C19" s="24">
        <v>1</v>
      </c>
      <c r="D19" s="24" t="s">
        <v>11</v>
      </c>
      <c r="E19" s="25" t="s">
        <v>5</v>
      </c>
      <c r="F19" s="24">
        <v>3</v>
      </c>
      <c r="G19" s="33">
        <v>8120</v>
      </c>
      <c r="H19" s="35"/>
      <c r="I19" s="35"/>
    </row>
    <row r="20" spans="1:9" ht="17" thickTop="1" x14ac:dyDescent="0.2">
      <c r="A20" s="19" t="str">
        <f t="shared" si="0"/>
        <v>Act CAR_1_Naïve_Low_1</v>
      </c>
      <c r="B20" s="4" t="s">
        <v>13</v>
      </c>
      <c r="C20" s="4">
        <v>1</v>
      </c>
      <c r="D20" s="4" t="s">
        <v>9</v>
      </c>
      <c r="E20" s="4" t="s">
        <v>4</v>
      </c>
      <c r="F20" s="4">
        <v>1</v>
      </c>
      <c r="G20" s="30">
        <f>H20+I20</f>
        <v>1489378</v>
      </c>
      <c r="H20" s="3">
        <v>80497</v>
      </c>
      <c r="I20" s="3">
        <v>1408881</v>
      </c>
    </row>
    <row r="21" spans="1:9" x14ac:dyDescent="0.2">
      <c r="A21" s="14" t="str">
        <f t="shared" si="0"/>
        <v>Act CAR_1_Naïve_High_1</v>
      </c>
      <c r="B21" s="1" t="s">
        <v>13</v>
      </c>
      <c r="C21" s="1">
        <v>1</v>
      </c>
      <c r="D21" s="1" t="s">
        <v>9</v>
      </c>
      <c r="E21" s="1" t="s">
        <v>5</v>
      </c>
      <c r="F21" s="1">
        <v>1</v>
      </c>
      <c r="G21" s="28">
        <f>H21+I21</f>
        <v>1065708</v>
      </c>
      <c r="H21" s="3">
        <v>34262</v>
      </c>
      <c r="I21" s="3">
        <v>1031446</v>
      </c>
    </row>
    <row r="22" spans="1:9" x14ac:dyDescent="0.2">
      <c r="A22" s="14" t="str">
        <f t="shared" si="0"/>
        <v>Act CAR_1_EM_Low_1</v>
      </c>
      <c r="B22" s="1" t="s">
        <v>13</v>
      </c>
      <c r="C22" s="1">
        <v>1</v>
      </c>
      <c r="D22" s="1" t="s">
        <v>10</v>
      </c>
      <c r="E22" s="1" t="s">
        <v>4</v>
      </c>
      <c r="F22" s="1">
        <v>1</v>
      </c>
      <c r="G22" s="28">
        <v>2392638</v>
      </c>
      <c r="H22" s="35"/>
      <c r="I22" s="35"/>
    </row>
    <row r="23" spans="1:9" x14ac:dyDescent="0.2">
      <c r="A23" s="14" t="str">
        <f t="shared" si="0"/>
        <v>Act CAR_1_EM_High_1</v>
      </c>
      <c r="B23" s="1" t="s">
        <v>13</v>
      </c>
      <c r="C23" s="1">
        <v>1</v>
      </c>
      <c r="D23" s="1" t="s">
        <v>10</v>
      </c>
      <c r="E23" s="1" t="s">
        <v>5</v>
      </c>
      <c r="F23" s="1">
        <v>1</v>
      </c>
      <c r="G23" s="28">
        <v>664820</v>
      </c>
      <c r="H23" s="35"/>
      <c r="I23" s="35"/>
    </row>
    <row r="24" spans="1:9" x14ac:dyDescent="0.2">
      <c r="A24" s="14" t="str">
        <f t="shared" si="0"/>
        <v>Act CAR_1_CM_Low_1</v>
      </c>
      <c r="B24" s="1" t="s">
        <v>13</v>
      </c>
      <c r="C24" s="1">
        <v>1</v>
      </c>
      <c r="D24" s="1" t="s">
        <v>11</v>
      </c>
      <c r="E24" s="2" t="s">
        <v>4</v>
      </c>
      <c r="F24" s="1">
        <v>1</v>
      </c>
      <c r="G24" s="28">
        <v>122067</v>
      </c>
      <c r="H24" s="35"/>
      <c r="I24" s="35"/>
    </row>
    <row r="25" spans="1:9" x14ac:dyDescent="0.2">
      <c r="A25" s="14" t="str">
        <f t="shared" si="0"/>
        <v>Act CAR_1_CM_High_1</v>
      </c>
      <c r="B25" s="1" t="s">
        <v>13</v>
      </c>
      <c r="C25" s="1">
        <v>1</v>
      </c>
      <c r="D25" s="1" t="s">
        <v>11</v>
      </c>
      <c r="E25" s="2" t="s">
        <v>5</v>
      </c>
      <c r="F25" s="1">
        <v>1</v>
      </c>
      <c r="G25" s="28">
        <v>27421</v>
      </c>
      <c r="H25" s="35"/>
      <c r="I25" s="35"/>
    </row>
    <row r="26" spans="1:9" x14ac:dyDescent="0.2">
      <c r="A26" s="14" t="str">
        <f t="shared" si="0"/>
        <v>Act CAR_1_Naïve_Low_2</v>
      </c>
      <c r="B26" s="1" t="s">
        <v>13</v>
      </c>
      <c r="C26" s="1">
        <v>1</v>
      </c>
      <c r="D26" s="1" t="s">
        <v>9</v>
      </c>
      <c r="E26" s="1" t="s">
        <v>4</v>
      </c>
      <c r="F26" s="1">
        <v>2</v>
      </c>
      <c r="G26" s="28">
        <f>H26+I26</f>
        <v>642692</v>
      </c>
      <c r="H26" s="3">
        <v>242692</v>
      </c>
      <c r="I26" s="3">
        <v>400000</v>
      </c>
    </row>
    <row r="27" spans="1:9" x14ac:dyDescent="0.2">
      <c r="A27" s="14" t="str">
        <f t="shared" si="0"/>
        <v>Act CAR_1_Naïve_High_2</v>
      </c>
      <c r="B27" s="1" t="s">
        <v>13</v>
      </c>
      <c r="C27" s="1">
        <v>1</v>
      </c>
      <c r="D27" s="1" t="s">
        <v>9</v>
      </c>
      <c r="E27" s="1" t="s">
        <v>5</v>
      </c>
      <c r="F27" s="1">
        <v>2</v>
      </c>
      <c r="G27" s="28">
        <f>H27+I27</f>
        <v>439377</v>
      </c>
      <c r="H27" s="3">
        <v>39377</v>
      </c>
      <c r="I27" s="3">
        <v>400000</v>
      </c>
    </row>
    <row r="28" spans="1:9" x14ac:dyDescent="0.2">
      <c r="A28" s="14" t="str">
        <f t="shared" si="0"/>
        <v>Act CAR_1_EM_Low_2</v>
      </c>
      <c r="B28" s="1" t="s">
        <v>13</v>
      </c>
      <c r="C28" s="1">
        <v>1</v>
      </c>
      <c r="D28" s="1" t="s">
        <v>10</v>
      </c>
      <c r="E28" s="1" t="s">
        <v>4</v>
      </c>
      <c r="F28" s="1">
        <v>2</v>
      </c>
      <c r="G28" s="28">
        <v>750000</v>
      </c>
      <c r="H28" s="35"/>
      <c r="I28" s="35"/>
    </row>
    <row r="29" spans="1:9" x14ac:dyDescent="0.2">
      <c r="A29" s="14" t="str">
        <f t="shared" si="0"/>
        <v>Act CAR_1_EM_High_2</v>
      </c>
      <c r="B29" s="1" t="s">
        <v>13</v>
      </c>
      <c r="C29" s="1">
        <v>1</v>
      </c>
      <c r="D29" s="1" t="s">
        <v>10</v>
      </c>
      <c r="E29" s="1" t="s">
        <v>5</v>
      </c>
      <c r="F29" s="1">
        <v>2</v>
      </c>
      <c r="G29" s="28">
        <v>668969</v>
      </c>
      <c r="H29" s="35"/>
      <c r="I29" s="35"/>
    </row>
    <row r="30" spans="1:9" x14ac:dyDescent="0.2">
      <c r="A30" s="14" t="str">
        <f t="shared" si="0"/>
        <v>Act CAR_1_CM_Low_2</v>
      </c>
      <c r="B30" s="1" t="s">
        <v>13</v>
      </c>
      <c r="C30" s="1">
        <v>1</v>
      </c>
      <c r="D30" s="1" t="s">
        <v>11</v>
      </c>
      <c r="E30" s="2" t="s">
        <v>4</v>
      </c>
      <c r="F30" s="1">
        <v>2</v>
      </c>
      <c r="G30" s="28">
        <v>129982</v>
      </c>
      <c r="H30" s="35"/>
      <c r="I30" s="35"/>
    </row>
    <row r="31" spans="1:9" x14ac:dyDescent="0.2">
      <c r="A31" s="14" t="str">
        <f t="shared" si="0"/>
        <v>Act CAR_1_CM_High_2</v>
      </c>
      <c r="B31" s="1" t="s">
        <v>13</v>
      </c>
      <c r="C31" s="1">
        <v>1</v>
      </c>
      <c r="D31" s="1" t="s">
        <v>11</v>
      </c>
      <c r="E31" s="2" t="s">
        <v>5</v>
      </c>
      <c r="F31" s="1">
        <v>2</v>
      </c>
      <c r="G31" s="28">
        <v>30533</v>
      </c>
      <c r="H31" s="35"/>
      <c r="I31" s="35"/>
    </row>
    <row r="32" spans="1:9" x14ac:dyDescent="0.2">
      <c r="A32" s="14" t="str">
        <f t="shared" si="0"/>
        <v>Act CAR_1_Naïve_Low_3</v>
      </c>
      <c r="B32" s="1" t="s">
        <v>13</v>
      </c>
      <c r="C32" s="1">
        <v>1</v>
      </c>
      <c r="D32" s="1" t="s">
        <v>9</v>
      </c>
      <c r="E32" s="1" t="s">
        <v>4</v>
      </c>
      <c r="F32" s="1">
        <v>3</v>
      </c>
      <c r="G32" s="28">
        <f>H32+I32</f>
        <v>592502</v>
      </c>
      <c r="H32" s="3">
        <v>192502</v>
      </c>
      <c r="I32" s="3">
        <v>400000</v>
      </c>
    </row>
    <row r="33" spans="1:9" x14ac:dyDescent="0.2">
      <c r="A33" s="14" t="str">
        <f t="shared" si="0"/>
        <v>Act CAR_1_Naïve_High_3</v>
      </c>
      <c r="B33" s="1" t="s">
        <v>13</v>
      </c>
      <c r="C33" s="1">
        <v>1</v>
      </c>
      <c r="D33" s="1" t="s">
        <v>9</v>
      </c>
      <c r="E33" s="1" t="s">
        <v>5</v>
      </c>
      <c r="F33" s="1">
        <v>3</v>
      </c>
      <c r="G33" s="28">
        <f>H33+I33</f>
        <v>433898</v>
      </c>
      <c r="H33" s="3">
        <v>33898</v>
      </c>
      <c r="I33" s="3">
        <v>400000</v>
      </c>
    </row>
    <row r="34" spans="1:9" x14ac:dyDescent="0.2">
      <c r="A34" s="14" t="str">
        <f t="shared" si="0"/>
        <v>Act CAR_1_EM_Low_3</v>
      </c>
      <c r="B34" s="1" t="s">
        <v>13</v>
      </c>
      <c r="C34" s="1">
        <v>1</v>
      </c>
      <c r="D34" s="1" t="s">
        <v>10</v>
      </c>
      <c r="E34" s="1" t="s">
        <v>4</v>
      </c>
      <c r="F34" s="1">
        <v>3</v>
      </c>
      <c r="G34" s="28">
        <v>750000</v>
      </c>
      <c r="H34" s="35"/>
      <c r="I34" s="35"/>
    </row>
    <row r="35" spans="1:9" x14ac:dyDescent="0.2">
      <c r="A35" s="14" t="str">
        <f t="shared" si="0"/>
        <v>Act CAR_1_EM_High_3</v>
      </c>
      <c r="B35" s="1" t="s">
        <v>13</v>
      </c>
      <c r="C35" s="1">
        <v>1</v>
      </c>
      <c r="D35" s="1" t="s">
        <v>10</v>
      </c>
      <c r="E35" s="1" t="s">
        <v>5</v>
      </c>
      <c r="F35" s="1">
        <v>3</v>
      </c>
      <c r="G35" s="28">
        <v>575424</v>
      </c>
      <c r="H35" s="35"/>
      <c r="I35" s="35"/>
    </row>
    <row r="36" spans="1:9" x14ac:dyDescent="0.2">
      <c r="A36" s="14" t="str">
        <f t="shared" si="0"/>
        <v>Act CAR_1_CM_Low_3</v>
      </c>
      <c r="B36" s="1" t="s">
        <v>13</v>
      </c>
      <c r="C36" s="1">
        <v>1</v>
      </c>
      <c r="D36" s="1" t="s">
        <v>11</v>
      </c>
      <c r="E36" s="2" t="s">
        <v>4</v>
      </c>
      <c r="F36" s="1">
        <v>3</v>
      </c>
      <c r="G36" s="28">
        <v>107162</v>
      </c>
      <c r="H36" s="35"/>
      <c r="I36" s="35"/>
    </row>
    <row r="37" spans="1:9" ht="17" thickBot="1" x14ac:dyDescent="0.25">
      <c r="A37" s="15" t="str">
        <f t="shared" si="0"/>
        <v>Act CAR_1_CM_High_3</v>
      </c>
      <c r="B37" s="16" t="s">
        <v>13</v>
      </c>
      <c r="C37" s="16">
        <v>1</v>
      </c>
      <c r="D37" s="16" t="s">
        <v>11</v>
      </c>
      <c r="E37" s="17" t="s">
        <v>5</v>
      </c>
      <c r="F37" s="16">
        <v>3</v>
      </c>
      <c r="G37" s="34">
        <v>27321</v>
      </c>
      <c r="H37" s="35"/>
      <c r="I37" s="35"/>
    </row>
    <row r="38" spans="1:9" ht="17" thickTop="1" x14ac:dyDescent="0.2">
      <c r="A38" s="13" t="str">
        <f t="shared" si="0"/>
        <v>CAR:K562_1_Naïve_Low_1</v>
      </c>
      <c r="B38" s="4" t="s">
        <v>14</v>
      </c>
      <c r="C38" s="4">
        <v>1</v>
      </c>
      <c r="D38" s="4" t="s">
        <v>9</v>
      </c>
      <c r="E38" s="4" t="s">
        <v>4</v>
      </c>
      <c r="F38" s="4">
        <v>1</v>
      </c>
      <c r="G38" s="30">
        <f>H38+I38</f>
        <v>201675</v>
      </c>
      <c r="H38" s="3">
        <v>108116</v>
      </c>
      <c r="I38" s="3">
        <v>93559</v>
      </c>
    </row>
    <row r="39" spans="1:9" x14ac:dyDescent="0.2">
      <c r="A39" s="5" t="str">
        <f t="shared" si="0"/>
        <v>CAR:K562_1_Naïve_High_1</v>
      </c>
      <c r="B39" s="1" t="s">
        <v>14</v>
      </c>
      <c r="C39" s="1">
        <v>1</v>
      </c>
      <c r="D39" s="1" t="s">
        <v>9</v>
      </c>
      <c r="E39" s="1" t="s">
        <v>5</v>
      </c>
      <c r="F39" s="1">
        <v>1</v>
      </c>
      <c r="G39" s="28">
        <f>H39+I39</f>
        <v>201000</v>
      </c>
      <c r="H39" s="3">
        <v>147592</v>
      </c>
      <c r="I39" s="3">
        <v>53408</v>
      </c>
    </row>
    <row r="40" spans="1:9" x14ac:dyDescent="0.2">
      <c r="A40" s="5" t="str">
        <f t="shared" si="0"/>
        <v>CAR:K562_1_EM_Low_1</v>
      </c>
      <c r="B40" s="1" t="s">
        <v>14</v>
      </c>
      <c r="C40" s="1">
        <v>1</v>
      </c>
      <c r="D40" s="1" t="s">
        <v>10</v>
      </c>
      <c r="E40" s="1" t="s">
        <v>4</v>
      </c>
      <c r="F40" s="1">
        <v>1</v>
      </c>
      <c r="G40" s="28">
        <v>792184</v>
      </c>
      <c r="H40" s="35"/>
      <c r="I40" s="35"/>
    </row>
    <row r="41" spans="1:9" x14ac:dyDescent="0.2">
      <c r="A41" s="5" t="str">
        <f t="shared" si="0"/>
        <v>CAR:K562_1_EM_High_1</v>
      </c>
      <c r="B41" s="1" t="s">
        <v>14</v>
      </c>
      <c r="C41" s="1">
        <v>1</v>
      </c>
      <c r="D41" s="1" t="s">
        <v>10</v>
      </c>
      <c r="E41" s="1" t="s">
        <v>5</v>
      </c>
      <c r="F41" s="1">
        <v>1</v>
      </c>
      <c r="G41" s="28">
        <v>356512</v>
      </c>
      <c r="H41" s="35"/>
      <c r="I41" s="35"/>
    </row>
    <row r="42" spans="1:9" x14ac:dyDescent="0.2">
      <c r="A42" s="5" t="str">
        <f t="shared" si="0"/>
        <v>CAR:K562_1_CM_Low_1</v>
      </c>
      <c r="B42" s="1" t="s">
        <v>14</v>
      </c>
      <c r="C42" s="1">
        <v>1</v>
      </c>
      <c r="D42" s="1" t="s">
        <v>11</v>
      </c>
      <c r="E42" s="2" t="s">
        <v>4</v>
      </c>
      <c r="F42" s="1">
        <v>1</v>
      </c>
      <c r="G42" s="28">
        <v>522594</v>
      </c>
      <c r="H42" s="35"/>
      <c r="I42" s="35"/>
    </row>
    <row r="43" spans="1:9" x14ac:dyDescent="0.2">
      <c r="A43" s="5" t="str">
        <f t="shared" si="0"/>
        <v>CAR:K562_1_CM_High_1</v>
      </c>
      <c r="B43" s="1" t="s">
        <v>14</v>
      </c>
      <c r="C43" s="1">
        <v>1</v>
      </c>
      <c r="D43" s="1" t="s">
        <v>11</v>
      </c>
      <c r="E43" s="2" t="s">
        <v>5</v>
      </c>
      <c r="F43" s="1">
        <v>1</v>
      </c>
      <c r="G43" s="28">
        <v>259990</v>
      </c>
      <c r="H43" s="35"/>
      <c r="I43" s="35"/>
    </row>
    <row r="44" spans="1:9" x14ac:dyDescent="0.2">
      <c r="A44" s="5" t="str">
        <f t="shared" si="0"/>
        <v>CAR:K562_1_Naïve_Low_2</v>
      </c>
      <c r="B44" s="1" t="s">
        <v>14</v>
      </c>
      <c r="C44" s="1">
        <v>1</v>
      </c>
      <c r="D44" s="1" t="s">
        <v>9</v>
      </c>
      <c r="E44" s="1" t="s">
        <v>4</v>
      </c>
      <c r="F44" s="1">
        <v>2</v>
      </c>
      <c r="G44" s="28">
        <f>H44+I44</f>
        <v>227127</v>
      </c>
      <c r="H44" s="3">
        <v>135742</v>
      </c>
      <c r="I44" s="3">
        <v>91385</v>
      </c>
    </row>
    <row r="45" spans="1:9" x14ac:dyDescent="0.2">
      <c r="A45" s="5" t="str">
        <f t="shared" si="0"/>
        <v>CAR:K562_1_Naïve_High_2</v>
      </c>
      <c r="B45" s="1" t="s">
        <v>14</v>
      </c>
      <c r="C45" s="1">
        <v>1</v>
      </c>
      <c r="D45" s="1" t="s">
        <v>9</v>
      </c>
      <c r="E45" s="1" t="s">
        <v>5</v>
      </c>
      <c r="F45" s="1">
        <v>2</v>
      </c>
      <c r="G45" s="28">
        <f>H45+I45</f>
        <v>154260</v>
      </c>
      <c r="H45" s="3">
        <v>107550</v>
      </c>
      <c r="I45" s="3">
        <v>46710</v>
      </c>
    </row>
    <row r="46" spans="1:9" x14ac:dyDescent="0.2">
      <c r="A46" s="5" t="str">
        <f t="shared" si="0"/>
        <v>CAR:K562_1_EM_Low_2</v>
      </c>
      <c r="B46" s="1" t="s">
        <v>14</v>
      </c>
      <c r="C46" s="1">
        <v>1</v>
      </c>
      <c r="D46" s="1" t="s">
        <v>10</v>
      </c>
      <c r="E46" s="1" t="s">
        <v>4</v>
      </c>
      <c r="F46" s="1">
        <v>2</v>
      </c>
      <c r="G46" s="28">
        <v>772739</v>
      </c>
      <c r="H46" s="35"/>
      <c r="I46" s="35"/>
    </row>
    <row r="47" spans="1:9" x14ac:dyDescent="0.2">
      <c r="A47" s="5" t="str">
        <f t="shared" si="0"/>
        <v>CAR:K562_1_EM_High_2</v>
      </c>
      <c r="B47" s="1" t="s">
        <v>14</v>
      </c>
      <c r="C47" s="1">
        <v>1</v>
      </c>
      <c r="D47" s="1" t="s">
        <v>10</v>
      </c>
      <c r="E47" s="1" t="s">
        <v>5</v>
      </c>
      <c r="F47" s="1">
        <v>2</v>
      </c>
      <c r="G47" s="28">
        <v>288524</v>
      </c>
      <c r="H47" s="35"/>
      <c r="I47" s="35"/>
    </row>
    <row r="48" spans="1:9" x14ac:dyDescent="0.2">
      <c r="A48" s="5" t="str">
        <f t="shared" si="0"/>
        <v>CAR:K562_1_CM_Low_2</v>
      </c>
      <c r="B48" s="1" t="s">
        <v>14</v>
      </c>
      <c r="C48" s="1">
        <v>1</v>
      </c>
      <c r="D48" s="1" t="s">
        <v>11</v>
      </c>
      <c r="E48" s="2" t="s">
        <v>4</v>
      </c>
      <c r="F48" s="1">
        <v>2</v>
      </c>
      <c r="G48" s="28">
        <v>520783</v>
      </c>
      <c r="H48" s="35"/>
      <c r="I48" s="35"/>
    </row>
    <row r="49" spans="1:9" x14ac:dyDescent="0.2">
      <c r="A49" s="5" t="str">
        <f t="shared" si="0"/>
        <v>CAR:K562_1_CM_High_2</v>
      </c>
      <c r="B49" s="1" t="s">
        <v>14</v>
      </c>
      <c r="C49" s="1">
        <v>1</v>
      </c>
      <c r="D49" s="1" t="s">
        <v>11</v>
      </c>
      <c r="E49" s="2" t="s">
        <v>5</v>
      </c>
      <c r="F49" s="1">
        <v>2</v>
      </c>
      <c r="G49" s="28">
        <v>204033</v>
      </c>
      <c r="H49" s="35"/>
      <c r="I49" s="35"/>
    </row>
    <row r="50" spans="1:9" x14ac:dyDescent="0.2">
      <c r="A50" s="5" t="str">
        <f t="shared" si="0"/>
        <v>CAR:K562_1_Naïve_Low_3</v>
      </c>
      <c r="B50" s="1" t="s">
        <v>14</v>
      </c>
      <c r="C50" s="1">
        <v>1</v>
      </c>
      <c r="D50" s="1" t="s">
        <v>9</v>
      </c>
      <c r="E50" s="1" t="s">
        <v>4</v>
      </c>
      <c r="F50" s="1">
        <v>3</v>
      </c>
      <c r="G50" s="28">
        <f>H50+I50</f>
        <v>250471</v>
      </c>
      <c r="H50" s="3">
        <v>147563</v>
      </c>
      <c r="I50" s="3">
        <v>102908</v>
      </c>
    </row>
    <row r="51" spans="1:9" x14ac:dyDescent="0.2">
      <c r="A51" s="5" t="str">
        <f t="shared" si="0"/>
        <v>CAR:K562_1_Naïve_High_3</v>
      </c>
      <c r="B51" s="1" t="s">
        <v>14</v>
      </c>
      <c r="C51" s="1">
        <v>1</v>
      </c>
      <c r="D51" s="1" t="s">
        <v>9</v>
      </c>
      <c r="E51" s="1" t="s">
        <v>5</v>
      </c>
      <c r="F51" s="1">
        <v>3</v>
      </c>
      <c r="G51" s="28">
        <f>H51+I51</f>
        <v>162755</v>
      </c>
      <c r="H51" s="3">
        <v>112572</v>
      </c>
      <c r="I51" s="3">
        <v>50183</v>
      </c>
    </row>
    <row r="52" spans="1:9" x14ac:dyDescent="0.2">
      <c r="A52" s="5" t="str">
        <f t="shared" si="0"/>
        <v>CAR:K562_1_EM_Low_3</v>
      </c>
      <c r="B52" s="1" t="s">
        <v>14</v>
      </c>
      <c r="C52" s="1">
        <v>1</v>
      </c>
      <c r="D52" s="1" t="s">
        <v>10</v>
      </c>
      <c r="E52" s="1" t="s">
        <v>4</v>
      </c>
      <c r="F52" s="1">
        <v>3</v>
      </c>
      <c r="G52" s="28">
        <v>885697</v>
      </c>
      <c r="H52" s="35"/>
      <c r="I52" s="35"/>
    </row>
    <row r="53" spans="1:9" x14ac:dyDescent="0.2">
      <c r="A53" s="5" t="str">
        <f t="shared" si="0"/>
        <v>CAR:K562_1_EM_High_3</v>
      </c>
      <c r="B53" s="1" t="s">
        <v>14</v>
      </c>
      <c r="C53" s="1">
        <v>1</v>
      </c>
      <c r="D53" s="1" t="s">
        <v>10</v>
      </c>
      <c r="E53" s="1" t="s">
        <v>5</v>
      </c>
      <c r="F53" s="1">
        <v>3</v>
      </c>
      <c r="G53" s="28">
        <v>302076</v>
      </c>
      <c r="H53" s="35"/>
      <c r="I53" s="35"/>
    </row>
    <row r="54" spans="1:9" x14ac:dyDescent="0.2">
      <c r="A54" s="5" t="str">
        <f t="shared" si="0"/>
        <v>CAR:K562_1_CM_Low_3</v>
      </c>
      <c r="B54" s="1" t="s">
        <v>14</v>
      </c>
      <c r="C54" s="1">
        <v>1</v>
      </c>
      <c r="D54" s="1" t="s">
        <v>11</v>
      </c>
      <c r="E54" s="2" t="s">
        <v>4</v>
      </c>
      <c r="F54" s="1">
        <v>3</v>
      </c>
      <c r="G54" s="28">
        <v>579120</v>
      </c>
      <c r="H54" s="35"/>
      <c r="I54" s="35"/>
    </row>
    <row r="55" spans="1:9" ht="17" thickBot="1" x14ac:dyDescent="0.25">
      <c r="A55" s="6" t="str">
        <f t="shared" si="0"/>
        <v>CAR:K562_1_CM_High_3</v>
      </c>
      <c r="B55" s="7" t="s">
        <v>14</v>
      </c>
      <c r="C55" s="7">
        <v>1</v>
      </c>
      <c r="D55" s="7" t="s">
        <v>11</v>
      </c>
      <c r="E55" s="8" t="s">
        <v>5</v>
      </c>
      <c r="F55" s="7">
        <v>3</v>
      </c>
      <c r="G55" s="29">
        <v>217690</v>
      </c>
      <c r="H55" s="35"/>
      <c r="I55" s="35"/>
    </row>
    <row r="56" spans="1:9" ht="17" thickTop="1" x14ac:dyDescent="0.2">
      <c r="A56" s="26" t="str">
        <f t="shared" si="0"/>
        <v>CAR:Raji_1_Naïve_Low_1</v>
      </c>
      <c r="B56" s="4" t="s">
        <v>15</v>
      </c>
      <c r="C56" s="4">
        <v>1</v>
      </c>
      <c r="D56" s="4" t="s">
        <v>9</v>
      </c>
      <c r="E56" s="4" t="s">
        <v>4</v>
      </c>
      <c r="F56" s="4">
        <v>1</v>
      </c>
      <c r="G56" s="30">
        <f>H56+I56</f>
        <v>497923</v>
      </c>
      <c r="H56" s="3">
        <v>299973</v>
      </c>
      <c r="I56" s="3">
        <v>197950</v>
      </c>
    </row>
    <row r="57" spans="1:9" x14ac:dyDescent="0.2">
      <c r="A57" s="9" t="str">
        <f t="shared" si="0"/>
        <v>CAR:Raji_1_Naïve_High_1</v>
      </c>
      <c r="B57" s="1" t="s">
        <v>15</v>
      </c>
      <c r="C57" s="1">
        <v>1</v>
      </c>
      <c r="D57" s="1" t="s">
        <v>9</v>
      </c>
      <c r="E57" s="1" t="s">
        <v>5</v>
      </c>
      <c r="F57" s="1">
        <v>1</v>
      </c>
      <c r="G57" s="28">
        <f>H57+I57</f>
        <v>431705</v>
      </c>
      <c r="H57" s="3">
        <v>235348</v>
      </c>
      <c r="I57" s="3">
        <v>196357</v>
      </c>
    </row>
    <row r="58" spans="1:9" x14ac:dyDescent="0.2">
      <c r="A58" s="9" t="str">
        <f t="shared" si="0"/>
        <v>CAR:Raji_1_EM_Low_1</v>
      </c>
      <c r="B58" s="1" t="s">
        <v>15</v>
      </c>
      <c r="C58" s="1">
        <v>1</v>
      </c>
      <c r="D58" s="1" t="s">
        <v>10</v>
      </c>
      <c r="E58" s="1" t="s">
        <v>4</v>
      </c>
      <c r="F58" s="1">
        <v>1</v>
      </c>
      <c r="G58" s="28">
        <v>181432</v>
      </c>
      <c r="H58" s="35"/>
      <c r="I58" s="35"/>
    </row>
    <row r="59" spans="1:9" x14ac:dyDescent="0.2">
      <c r="A59" s="9" t="str">
        <f t="shared" si="0"/>
        <v>CAR:Raji_1_EM_High_1</v>
      </c>
      <c r="B59" s="1" t="s">
        <v>15</v>
      </c>
      <c r="C59" s="1">
        <v>1</v>
      </c>
      <c r="D59" s="1" t="s">
        <v>10</v>
      </c>
      <c r="E59" s="1" t="s">
        <v>5</v>
      </c>
      <c r="F59" s="1">
        <v>1</v>
      </c>
      <c r="G59" s="28">
        <v>212713</v>
      </c>
      <c r="H59" s="35"/>
      <c r="I59" s="35"/>
    </row>
    <row r="60" spans="1:9" x14ac:dyDescent="0.2">
      <c r="A60" s="9" t="str">
        <f t="shared" si="0"/>
        <v>CAR:Raji_1_CM_Low_1</v>
      </c>
      <c r="B60" s="1" t="s">
        <v>15</v>
      </c>
      <c r="C60" s="1">
        <v>1</v>
      </c>
      <c r="D60" s="1" t="s">
        <v>11</v>
      </c>
      <c r="E60" s="2" t="s">
        <v>4</v>
      </c>
      <c r="F60" s="1">
        <v>1</v>
      </c>
      <c r="G60" s="28">
        <v>17426</v>
      </c>
      <c r="H60" s="35"/>
      <c r="I60" s="35"/>
    </row>
    <row r="61" spans="1:9" x14ac:dyDescent="0.2">
      <c r="A61" s="9" t="str">
        <f t="shared" si="0"/>
        <v>CAR:Raji_1_CM_High_1</v>
      </c>
      <c r="B61" s="1" t="s">
        <v>15</v>
      </c>
      <c r="C61" s="1">
        <v>1</v>
      </c>
      <c r="D61" s="1" t="s">
        <v>11</v>
      </c>
      <c r="E61" s="2" t="s">
        <v>5</v>
      </c>
      <c r="F61" s="1">
        <v>1</v>
      </c>
      <c r="G61" s="28">
        <v>56974</v>
      </c>
      <c r="H61" s="35"/>
      <c r="I61" s="35"/>
    </row>
    <row r="62" spans="1:9" x14ac:dyDescent="0.2">
      <c r="A62" s="9" t="str">
        <f t="shared" si="0"/>
        <v>CAR:Raji_1_Naïve_Low_2</v>
      </c>
      <c r="B62" s="1" t="s">
        <v>15</v>
      </c>
      <c r="C62" s="1">
        <v>1</v>
      </c>
      <c r="D62" s="1" t="s">
        <v>9</v>
      </c>
      <c r="E62" s="1" t="s">
        <v>4</v>
      </c>
      <c r="F62" s="1">
        <v>2</v>
      </c>
      <c r="G62" s="28">
        <f>H62+I62</f>
        <v>504876</v>
      </c>
      <c r="H62" s="3">
        <v>298915</v>
      </c>
      <c r="I62" s="3">
        <v>205961</v>
      </c>
    </row>
    <row r="63" spans="1:9" x14ac:dyDescent="0.2">
      <c r="A63" s="9" t="str">
        <f t="shared" si="0"/>
        <v>CAR:Raji_1_Naïve_High_2</v>
      </c>
      <c r="B63" s="1" t="s">
        <v>15</v>
      </c>
      <c r="C63" s="1">
        <v>1</v>
      </c>
      <c r="D63" s="1" t="s">
        <v>9</v>
      </c>
      <c r="E63" s="1" t="s">
        <v>5</v>
      </c>
      <c r="F63" s="1">
        <v>2</v>
      </c>
      <c r="G63" s="28">
        <f>H63+I63</f>
        <v>459437</v>
      </c>
      <c r="H63" s="3">
        <v>244715</v>
      </c>
      <c r="I63" s="3">
        <v>214722</v>
      </c>
    </row>
    <row r="64" spans="1:9" x14ac:dyDescent="0.2">
      <c r="A64" s="9" t="str">
        <f t="shared" si="0"/>
        <v>CAR:Raji_1_EM_Low_2</v>
      </c>
      <c r="B64" s="1" t="s">
        <v>15</v>
      </c>
      <c r="C64" s="1">
        <v>1</v>
      </c>
      <c r="D64" s="1" t="s">
        <v>10</v>
      </c>
      <c r="E64" s="1" t="s">
        <v>4</v>
      </c>
      <c r="F64" s="1">
        <v>2</v>
      </c>
      <c r="G64" s="28">
        <v>358052</v>
      </c>
      <c r="H64" s="35"/>
      <c r="I64" s="35"/>
    </row>
    <row r="65" spans="1:9" x14ac:dyDescent="0.2">
      <c r="A65" s="9" t="str">
        <f t="shared" si="0"/>
        <v>CAR:Raji_1_EM_High_2</v>
      </c>
      <c r="B65" s="1" t="s">
        <v>15</v>
      </c>
      <c r="C65" s="1">
        <v>1</v>
      </c>
      <c r="D65" s="1" t="s">
        <v>10</v>
      </c>
      <c r="E65" s="1" t="s">
        <v>5</v>
      </c>
      <c r="F65" s="1">
        <v>2</v>
      </c>
      <c r="G65" s="28">
        <v>380944</v>
      </c>
      <c r="H65" s="35"/>
      <c r="I65" s="35"/>
    </row>
    <row r="66" spans="1:9" x14ac:dyDescent="0.2">
      <c r="A66" s="9" t="str">
        <f t="shared" si="0"/>
        <v>CAR:Raji_1_CM_Low_2</v>
      </c>
      <c r="B66" s="1" t="s">
        <v>15</v>
      </c>
      <c r="C66" s="1">
        <v>1</v>
      </c>
      <c r="D66" s="1" t="s">
        <v>11</v>
      </c>
      <c r="E66" s="2" t="s">
        <v>4</v>
      </c>
      <c r="F66" s="1">
        <v>2</v>
      </c>
      <c r="G66" s="28">
        <v>34499</v>
      </c>
      <c r="H66" s="35"/>
      <c r="I66" s="35"/>
    </row>
    <row r="67" spans="1:9" x14ac:dyDescent="0.2">
      <c r="A67" s="9" t="str">
        <f t="shared" ref="A67:A73" si="1">CONCATENATE(B67,"_", C67,"_", D67, "_", E67, "_", F67)</f>
        <v>CAR:Raji_1_CM_High_2</v>
      </c>
      <c r="B67" s="1" t="s">
        <v>15</v>
      </c>
      <c r="C67" s="1">
        <v>1</v>
      </c>
      <c r="D67" s="1" t="s">
        <v>11</v>
      </c>
      <c r="E67" s="2" t="s">
        <v>5</v>
      </c>
      <c r="F67" s="1">
        <v>2</v>
      </c>
      <c r="G67" s="28">
        <v>94368</v>
      </c>
      <c r="H67" s="35"/>
      <c r="I67" s="35"/>
    </row>
    <row r="68" spans="1:9" x14ac:dyDescent="0.2">
      <c r="A68" s="9" t="str">
        <f t="shared" si="1"/>
        <v>CAR:Raji_1_Naïve_Low_3</v>
      </c>
      <c r="B68" s="1" t="s">
        <v>15</v>
      </c>
      <c r="C68" s="1">
        <v>1</v>
      </c>
      <c r="D68" s="1" t="s">
        <v>9</v>
      </c>
      <c r="E68" s="1" t="s">
        <v>4</v>
      </c>
      <c r="F68" s="1">
        <v>3</v>
      </c>
      <c r="G68" s="28">
        <f>H68+I68</f>
        <v>573916</v>
      </c>
      <c r="H68" s="3">
        <v>335310</v>
      </c>
      <c r="I68" s="3">
        <v>238606</v>
      </c>
    </row>
    <row r="69" spans="1:9" x14ac:dyDescent="0.2">
      <c r="A69" s="9" t="str">
        <f t="shared" si="1"/>
        <v>CAR:Raji_1_Naïve_High_3</v>
      </c>
      <c r="B69" s="1" t="s">
        <v>15</v>
      </c>
      <c r="C69" s="1">
        <v>1</v>
      </c>
      <c r="D69" s="1" t="s">
        <v>9</v>
      </c>
      <c r="E69" s="1" t="s">
        <v>5</v>
      </c>
      <c r="F69" s="1">
        <v>3</v>
      </c>
      <c r="G69" s="28">
        <f>H69+I69</f>
        <v>494420</v>
      </c>
      <c r="H69" s="3">
        <v>251283</v>
      </c>
      <c r="I69" s="3">
        <v>243137</v>
      </c>
    </row>
    <row r="70" spans="1:9" x14ac:dyDescent="0.2">
      <c r="A70" s="9" t="str">
        <f t="shared" si="1"/>
        <v>CAR:Raji_1_EM_Low_3</v>
      </c>
      <c r="B70" s="1" t="s">
        <v>15</v>
      </c>
      <c r="C70" s="1">
        <v>1</v>
      </c>
      <c r="D70" s="1" t="s">
        <v>10</v>
      </c>
      <c r="E70" s="1" t="s">
        <v>4</v>
      </c>
      <c r="F70" s="1">
        <v>3</v>
      </c>
      <c r="G70" s="28">
        <v>414188</v>
      </c>
      <c r="H70" s="35"/>
      <c r="I70" s="35"/>
    </row>
    <row r="71" spans="1:9" x14ac:dyDescent="0.2">
      <c r="A71" s="9" t="str">
        <f t="shared" si="1"/>
        <v>CAR:Raji_1_EM_High_3</v>
      </c>
      <c r="B71" s="1" t="s">
        <v>15</v>
      </c>
      <c r="C71" s="1">
        <v>1</v>
      </c>
      <c r="D71" s="1" t="s">
        <v>10</v>
      </c>
      <c r="E71" s="1" t="s">
        <v>5</v>
      </c>
      <c r="F71" s="1">
        <v>3</v>
      </c>
      <c r="G71" s="28">
        <v>431218</v>
      </c>
      <c r="H71" s="35"/>
      <c r="I71" s="35"/>
    </row>
    <row r="72" spans="1:9" x14ac:dyDescent="0.2">
      <c r="A72" s="9" t="str">
        <f t="shared" si="1"/>
        <v>CAR:Raji_1_CM_Low_3</v>
      </c>
      <c r="B72" s="1" t="s">
        <v>15</v>
      </c>
      <c r="C72" s="1">
        <v>1</v>
      </c>
      <c r="D72" s="1" t="s">
        <v>11</v>
      </c>
      <c r="E72" s="2" t="s">
        <v>4</v>
      </c>
      <c r="F72" s="1">
        <v>3</v>
      </c>
      <c r="G72" s="28">
        <v>40802</v>
      </c>
      <c r="H72" s="35"/>
      <c r="I72" s="35"/>
    </row>
    <row r="73" spans="1:9" ht="17" thickBot="1" x14ac:dyDescent="0.25">
      <c r="A73" s="10" t="str">
        <f t="shared" si="1"/>
        <v>CAR:Raji_1_CM_High_3</v>
      </c>
      <c r="B73" s="11" t="s">
        <v>15</v>
      </c>
      <c r="C73" s="11">
        <v>1</v>
      </c>
      <c r="D73" s="11" t="s">
        <v>11</v>
      </c>
      <c r="E73" s="12" t="s">
        <v>5</v>
      </c>
      <c r="F73" s="11">
        <v>3</v>
      </c>
      <c r="G73" s="31">
        <v>106926</v>
      </c>
      <c r="H73" s="35"/>
      <c r="I73" s="35"/>
    </row>
    <row r="74" spans="1:9" ht="17" thickTop="1" x14ac:dyDescent="0.2"/>
  </sheetData>
  <phoneticPr fontId="3" type="noConversion"/>
  <pageMargins left="0.7" right="0.7" top="0.75" bottom="0.75" header="0.3" footer="0.3"/>
  <pageSetup scale="6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0655-E2F8-594D-8BFB-A1C216DE402B}">
  <sheetPr>
    <pageSetUpPr fitToPage="1"/>
  </sheetPr>
  <dimension ref="A1:I7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" sqref="K2:M4"/>
    </sheetView>
  </sheetViews>
  <sheetFormatPr baseColWidth="10" defaultRowHeight="16" x14ac:dyDescent="0.2"/>
  <cols>
    <col min="1" max="1" width="22.1640625" bestFit="1" customWidth="1"/>
  </cols>
  <sheetData>
    <row r="1" spans="1:9" ht="17" thickBot="1" x14ac:dyDescent="0.25">
      <c r="A1" s="18" t="s">
        <v>0</v>
      </c>
      <c r="B1" s="18" t="s">
        <v>1</v>
      </c>
      <c r="C1" s="18" t="s">
        <v>12</v>
      </c>
      <c r="D1" s="18" t="s">
        <v>8</v>
      </c>
      <c r="E1" s="18" t="s">
        <v>7</v>
      </c>
      <c r="F1" s="18" t="s">
        <v>6</v>
      </c>
      <c r="G1" s="18" t="s">
        <v>2</v>
      </c>
      <c r="H1" s="27" t="s">
        <v>9</v>
      </c>
      <c r="I1" s="27" t="s">
        <v>16</v>
      </c>
    </row>
    <row r="2" spans="1:9" ht="17" thickTop="1" x14ac:dyDescent="0.2">
      <c r="A2" s="20" t="str">
        <f>CONCATENATE(B2,"_", C2,"_", D2, "_", E2, "_", F2)</f>
        <v>CAR_2_Naïve_Low_1</v>
      </c>
      <c r="B2" s="21" t="s">
        <v>3</v>
      </c>
      <c r="C2" s="21">
        <v>2</v>
      </c>
      <c r="D2" s="21" t="s">
        <v>9</v>
      </c>
      <c r="E2" s="21" t="s">
        <v>4</v>
      </c>
      <c r="F2" s="21">
        <v>1</v>
      </c>
      <c r="G2" s="32">
        <f>H2+I2</f>
        <v>19468</v>
      </c>
      <c r="H2" s="3">
        <v>7402</v>
      </c>
      <c r="I2" s="3">
        <v>12066</v>
      </c>
    </row>
    <row r="3" spans="1:9" x14ac:dyDescent="0.2">
      <c r="A3" s="22" t="str">
        <f t="shared" ref="A3:A66" si="0">CONCATENATE(B3,"_", C3,"_", D3, "_", E3, "_", F3)</f>
        <v>CAR_2_Naïve_High_1</v>
      </c>
      <c r="B3" s="1" t="s">
        <v>3</v>
      </c>
      <c r="C3" s="1">
        <v>2</v>
      </c>
      <c r="D3" s="1" t="s">
        <v>9</v>
      </c>
      <c r="E3" s="1" t="s">
        <v>5</v>
      </c>
      <c r="F3" s="1">
        <v>1</v>
      </c>
      <c r="G3" s="28">
        <f>H3+I3</f>
        <v>4187</v>
      </c>
      <c r="H3" s="3">
        <v>343</v>
      </c>
      <c r="I3" s="3">
        <v>3844</v>
      </c>
    </row>
    <row r="4" spans="1:9" x14ac:dyDescent="0.2">
      <c r="A4" s="22" t="str">
        <f t="shared" si="0"/>
        <v>CAR_2_EM_Low_1</v>
      </c>
      <c r="B4" s="1" t="s">
        <v>3</v>
      </c>
      <c r="C4" s="1">
        <v>2</v>
      </c>
      <c r="D4" s="1" t="s">
        <v>10</v>
      </c>
      <c r="E4" s="1" t="s">
        <v>4</v>
      </c>
      <c r="F4" s="1">
        <v>1</v>
      </c>
      <c r="G4" s="28">
        <v>15039</v>
      </c>
      <c r="H4" s="35"/>
      <c r="I4" s="35"/>
    </row>
    <row r="5" spans="1:9" x14ac:dyDescent="0.2">
      <c r="A5" s="22" t="str">
        <f t="shared" si="0"/>
        <v>CAR_2_EM_High_1</v>
      </c>
      <c r="B5" s="1" t="s">
        <v>3</v>
      </c>
      <c r="C5" s="1">
        <v>2</v>
      </c>
      <c r="D5" s="1" t="s">
        <v>10</v>
      </c>
      <c r="E5" s="1" t="s">
        <v>5</v>
      </c>
      <c r="F5" s="1">
        <v>1</v>
      </c>
      <c r="G5" s="28">
        <v>3733</v>
      </c>
      <c r="H5" s="35"/>
      <c r="I5" s="35"/>
    </row>
    <row r="6" spans="1:9" x14ac:dyDescent="0.2">
      <c r="A6" s="22" t="str">
        <f t="shared" si="0"/>
        <v>CAR_2_CM_Low_1</v>
      </c>
      <c r="B6" s="1" t="s">
        <v>3</v>
      </c>
      <c r="C6" s="1">
        <v>2</v>
      </c>
      <c r="D6" s="1" t="s">
        <v>11</v>
      </c>
      <c r="E6" s="2" t="s">
        <v>4</v>
      </c>
      <c r="F6" s="1">
        <v>1</v>
      </c>
      <c r="G6" s="28">
        <v>3889</v>
      </c>
      <c r="H6" s="35"/>
      <c r="I6" s="35"/>
    </row>
    <row r="7" spans="1:9" x14ac:dyDescent="0.2">
      <c r="A7" s="22" t="str">
        <f t="shared" si="0"/>
        <v>CAR_2_CM_High_1</v>
      </c>
      <c r="B7" s="1" t="s">
        <v>3</v>
      </c>
      <c r="C7" s="1">
        <v>2</v>
      </c>
      <c r="D7" s="1" t="s">
        <v>11</v>
      </c>
      <c r="E7" s="2" t="s">
        <v>5</v>
      </c>
      <c r="F7" s="1">
        <v>1</v>
      </c>
      <c r="G7" s="28">
        <v>1023</v>
      </c>
      <c r="H7" s="35"/>
      <c r="I7" s="35"/>
    </row>
    <row r="8" spans="1:9" x14ac:dyDescent="0.2">
      <c r="A8" s="22" t="str">
        <f t="shared" si="0"/>
        <v>CAR_2_Naïve_Low_2</v>
      </c>
      <c r="B8" s="1" t="s">
        <v>3</v>
      </c>
      <c r="C8" s="1">
        <v>2</v>
      </c>
      <c r="D8" s="1" t="s">
        <v>9</v>
      </c>
      <c r="E8" s="1" t="s">
        <v>4</v>
      </c>
      <c r="F8" s="1">
        <v>2</v>
      </c>
      <c r="G8" s="28">
        <f>H8+I8</f>
        <v>17921</v>
      </c>
      <c r="H8" s="3">
        <v>6878</v>
      </c>
      <c r="I8" s="3">
        <v>11043</v>
      </c>
    </row>
    <row r="9" spans="1:9" x14ac:dyDescent="0.2">
      <c r="A9" s="22" t="str">
        <f t="shared" si="0"/>
        <v>CAR_2_Naïve_High_2</v>
      </c>
      <c r="B9" s="1" t="s">
        <v>3</v>
      </c>
      <c r="C9" s="1">
        <v>2</v>
      </c>
      <c r="D9" s="1" t="s">
        <v>9</v>
      </c>
      <c r="E9" s="1" t="s">
        <v>5</v>
      </c>
      <c r="F9" s="1">
        <v>2</v>
      </c>
      <c r="G9" s="28">
        <f>H9+I9</f>
        <v>3617</v>
      </c>
      <c r="H9" s="3">
        <v>307</v>
      </c>
      <c r="I9" s="3">
        <v>3310</v>
      </c>
    </row>
    <row r="10" spans="1:9" x14ac:dyDescent="0.2">
      <c r="A10" s="22" t="str">
        <f t="shared" si="0"/>
        <v>CAR_2_EM_Low_2</v>
      </c>
      <c r="B10" s="1" t="s">
        <v>3</v>
      </c>
      <c r="C10" s="1">
        <v>2</v>
      </c>
      <c r="D10" s="1" t="s">
        <v>10</v>
      </c>
      <c r="E10" s="1" t="s">
        <v>4</v>
      </c>
      <c r="F10" s="1">
        <v>2</v>
      </c>
      <c r="G10" s="28">
        <v>13721</v>
      </c>
      <c r="H10" s="35"/>
      <c r="I10" s="35"/>
    </row>
    <row r="11" spans="1:9" x14ac:dyDescent="0.2">
      <c r="A11" s="22" t="str">
        <f t="shared" si="0"/>
        <v>CAR_2_EM_High_2</v>
      </c>
      <c r="B11" s="1" t="s">
        <v>3</v>
      </c>
      <c r="C11" s="1">
        <v>2</v>
      </c>
      <c r="D11" s="1" t="s">
        <v>10</v>
      </c>
      <c r="E11" s="1" t="s">
        <v>5</v>
      </c>
      <c r="F11" s="1">
        <v>2</v>
      </c>
      <c r="G11" s="28">
        <v>3073</v>
      </c>
      <c r="H11" s="35"/>
      <c r="I11" s="35"/>
    </row>
    <row r="12" spans="1:9" x14ac:dyDescent="0.2">
      <c r="A12" s="22" t="str">
        <f t="shared" si="0"/>
        <v>CAR_2_CM_Low_2</v>
      </c>
      <c r="B12" s="1" t="s">
        <v>3</v>
      </c>
      <c r="C12" s="1">
        <v>2</v>
      </c>
      <c r="D12" s="1" t="s">
        <v>11</v>
      </c>
      <c r="E12" s="2" t="s">
        <v>4</v>
      </c>
      <c r="F12" s="1">
        <v>2</v>
      </c>
      <c r="G12" s="28">
        <v>4186</v>
      </c>
      <c r="H12" s="35"/>
      <c r="I12" s="35"/>
    </row>
    <row r="13" spans="1:9" x14ac:dyDescent="0.2">
      <c r="A13" s="22" t="str">
        <f t="shared" si="0"/>
        <v>CAR_2_CM_High_2</v>
      </c>
      <c r="B13" s="1" t="s">
        <v>3</v>
      </c>
      <c r="C13" s="1">
        <v>2</v>
      </c>
      <c r="D13" s="1" t="s">
        <v>11</v>
      </c>
      <c r="E13" s="2" t="s">
        <v>5</v>
      </c>
      <c r="F13" s="1">
        <v>2</v>
      </c>
      <c r="G13" s="28">
        <v>806</v>
      </c>
      <c r="H13" s="35"/>
      <c r="I13" s="35"/>
    </row>
    <row r="14" spans="1:9" x14ac:dyDescent="0.2">
      <c r="A14" s="22" t="str">
        <f t="shared" si="0"/>
        <v>CAR_2_Naïve_Low_3</v>
      </c>
      <c r="B14" s="1" t="s">
        <v>3</v>
      </c>
      <c r="C14" s="1">
        <v>2</v>
      </c>
      <c r="D14" s="1" t="s">
        <v>9</v>
      </c>
      <c r="E14" s="1" t="s">
        <v>4</v>
      </c>
      <c r="F14" s="1">
        <v>3</v>
      </c>
      <c r="G14" s="28">
        <f>H14+I14</f>
        <v>36980</v>
      </c>
      <c r="H14" s="3">
        <v>15179</v>
      </c>
      <c r="I14" s="3">
        <v>21801</v>
      </c>
    </row>
    <row r="15" spans="1:9" x14ac:dyDescent="0.2">
      <c r="A15" s="22" t="str">
        <f t="shared" si="0"/>
        <v>CAR_2_Naïve_High_3</v>
      </c>
      <c r="B15" s="1" t="s">
        <v>3</v>
      </c>
      <c r="C15" s="1">
        <v>2</v>
      </c>
      <c r="D15" s="1" t="s">
        <v>9</v>
      </c>
      <c r="E15" s="1" t="s">
        <v>5</v>
      </c>
      <c r="F15" s="1">
        <v>3</v>
      </c>
      <c r="G15" s="28">
        <f>H15+I15</f>
        <v>5743</v>
      </c>
      <c r="H15" s="3">
        <v>488</v>
      </c>
      <c r="I15" s="3">
        <v>5255</v>
      </c>
    </row>
    <row r="16" spans="1:9" x14ac:dyDescent="0.2">
      <c r="A16" s="22" t="str">
        <f t="shared" si="0"/>
        <v>CAR_2_EM_Low_3</v>
      </c>
      <c r="B16" s="1" t="s">
        <v>3</v>
      </c>
      <c r="C16" s="1">
        <v>2</v>
      </c>
      <c r="D16" s="1" t="s">
        <v>10</v>
      </c>
      <c r="E16" s="1" t="s">
        <v>4</v>
      </c>
      <c r="F16" s="1">
        <v>3</v>
      </c>
      <c r="G16" s="28">
        <v>25272</v>
      </c>
      <c r="H16" s="35"/>
      <c r="I16" s="35"/>
    </row>
    <row r="17" spans="1:9" x14ac:dyDescent="0.2">
      <c r="A17" s="22" t="str">
        <f t="shared" si="0"/>
        <v>CAR_2_EM_High_3</v>
      </c>
      <c r="B17" s="1" t="s">
        <v>3</v>
      </c>
      <c r="C17" s="1">
        <v>2</v>
      </c>
      <c r="D17" s="1" t="s">
        <v>10</v>
      </c>
      <c r="E17" s="1" t="s">
        <v>5</v>
      </c>
      <c r="F17" s="1">
        <v>3</v>
      </c>
      <c r="G17" s="28">
        <v>4813</v>
      </c>
      <c r="H17" s="35"/>
      <c r="I17" s="35"/>
    </row>
    <row r="18" spans="1:9" x14ac:dyDescent="0.2">
      <c r="A18" s="22" t="str">
        <f t="shared" si="0"/>
        <v>CAR_2_CM_Low_3</v>
      </c>
      <c r="B18" s="1" t="s">
        <v>3</v>
      </c>
      <c r="C18" s="1">
        <v>2</v>
      </c>
      <c r="D18" s="1" t="s">
        <v>11</v>
      </c>
      <c r="E18" s="2" t="s">
        <v>4</v>
      </c>
      <c r="F18" s="1">
        <v>3</v>
      </c>
      <c r="G18" s="28">
        <v>8100</v>
      </c>
      <c r="H18" s="35"/>
      <c r="I18" s="35"/>
    </row>
    <row r="19" spans="1:9" ht="17" thickBot="1" x14ac:dyDescent="0.25">
      <c r="A19" s="23" t="str">
        <f t="shared" si="0"/>
        <v>CAR_2_CM_High_3</v>
      </c>
      <c r="B19" s="24" t="s">
        <v>3</v>
      </c>
      <c r="C19" s="24">
        <v>2</v>
      </c>
      <c r="D19" s="24" t="s">
        <v>11</v>
      </c>
      <c r="E19" s="25" t="s">
        <v>5</v>
      </c>
      <c r="F19" s="24">
        <v>3</v>
      </c>
      <c r="G19" s="33">
        <v>1302</v>
      </c>
      <c r="H19" s="35"/>
      <c r="I19" s="35"/>
    </row>
    <row r="20" spans="1:9" ht="17" thickTop="1" x14ac:dyDescent="0.2">
      <c r="A20" s="19" t="str">
        <f t="shared" si="0"/>
        <v>Act CAR_2_Naïve_Low_1</v>
      </c>
      <c r="B20" s="4" t="s">
        <v>13</v>
      </c>
      <c r="C20" s="4">
        <v>2</v>
      </c>
      <c r="D20" s="4" t="s">
        <v>9</v>
      </c>
      <c r="E20" s="4" t="s">
        <v>4</v>
      </c>
      <c r="F20" s="4">
        <v>1</v>
      </c>
      <c r="G20" s="30">
        <f>H20+I20</f>
        <v>408467</v>
      </c>
      <c r="H20" s="3">
        <v>8467</v>
      </c>
      <c r="I20" s="3">
        <v>400000</v>
      </c>
    </row>
    <row r="21" spans="1:9" x14ac:dyDescent="0.2">
      <c r="A21" s="14" t="str">
        <f t="shared" si="0"/>
        <v>Act CAR_2_Naïve_High_1</v>
      </c>
      <c r="B21" s="1" t="s">
        <v>13</v>
      </c>
      <c r="C21" s="1">
        <v>2</v>
      </c>
      <c r="D21" s="1" t="s">
        <v>9</v>
      </c>
      <c r="E21" s="1" t="s">
        <v>5</v>
      </c>
      <c r="F21" s="1">
        <v>1</v>
      </c>
      <c r="G21" s="28">
        <f>H21+I21</f>
        <v>267633</v>
      </c>
      <c r="H21" s="3">
        <v>1811</v>
      </c>
      <c r="I21" s="3">
        <v>265822</v>
      </c>
    </row>
    <row r="22" spans="1:9" x14ac:dyDescent="0.2">
      <c r="A22" s="14" t="str">
        <f t="shared" si="0"/>
        <v>Act CAR_2_EM_Low_1</v>
      </c>
      <c r="B22" s="1" t="s">
        <v>13</v>
      </c>
      <c r="C22" s="1">
        <v>2</v>
      </c>
      <c r="D22" s="1" t="s">
        <v>10</v>
      </c>
      <c r="E22" s="1" t="s">
        <v>4</v>
      </c>
      <c r="F22" s="1">
        <v>1</v>
      </c>
      <c r="G22" s="28">
        <v>750000</v>
      </c>
      <c r="H22" s="35"/>
      <c r="I22" s="35"/>
    </row>
    <row r="23" spans="1:9" x14ac:dyDescent="0.2">
      <c r="A23" s="14" t="str">
        <f t="shared" si="0"/>
        <v>Act CAR_2_EM_High_1</v>
      </c>
      <c r="B23" s="1" t="s">
        <v>13</v>
      </c>
      <c r="C23" s="1">
        <v>2</v>
      </c>
      <c r="D23" s="1" t="s">
        <v>10</v>
      </c>
      <c r="E23" s="1" t="s">
        <v>5</v>
      </c>
      <c r="F23" s="1">
        <v>1</v>
      </c>
      <c r="G23" s="28">
        <v>750000</v>
      </c>
      <c r="H23" s="35"/>
      <c r="I23" s="35"/>
    </row>
    <row r="24" spans="1:9" x14ac:dyDescent="0.2">
      <c r="A24" s="14" t="str">
        <f t="shared" si="0"/>
        <v>Act CAR_2_CM_Low_1</v>
      </c>
      <c r="B24" s="1" t="s">
        <v>13</v>
      </c>
      <c r="C24" s="1">
        <v>2</v>
      </c>
      <c r="D24" s="1" t="s">
        <v>11</v>
      </c>
      <c r="E24" s="2" t="s">
        <v>4</v>
      </c>
      <c r="F24" s="1">
        <v>1</v>
      </c>
      <c r="G24" s="28">
        <v>128845</v>
      </c>
      <c r="H24" s="35"/>
      <c r="I24" s="35"/>
    </row>
    <row r="25" spans="1:9" x14ac:dyDescent="0.2">
      <c r="A25" s="14" t="str">
        <f t="shared" si="0"/>
        <v>Act CAR_2_CM_High_1</v>
      </c>
      <c r="B25" s="1" t="s">
        <v>13</v>
      </c>
      <c r="C25" s="1">
        <v>2</v>
      </c>
      <c r="D25" s="1" t="s">
        <v>11</v>
      </c>
      <c r="E25" s="2" t="s">
        <v>5</v>
      </c>
      <c r="F25" s="1">
        <v>1</v>
      </c>
      <c r="G25" s="28">
        <v>35049</v>
      </c>
      <c r="H25" s="35"/>
      <c r="I25" s="35"/>
    </row>
    <row r="26" spans="1:9" x14ac:dyDescent="0.2">
      <c r="A26" s="14" t="str">
        <f t="shared" si="0"/>
        <v>Act CAR_2_Naïve_Low_2</v>
      </c>
      <c r="B26" s="1" t="s">
        <v>13</v>
      </c>
      <c r="C26" s="1">
        <v>2</v>
      </c>
      <c r="D26" s="1" t="s">
        <v>9</v>
      </c>
      <c r="E26" s="1" t="s">
        <v>4</v>
      </c>
      <c r="F26" s="1">
        <v>2</v>
      </c>
      <c r="G26" s="28">
        <f>H26+I26</f>
        <v>408467</v>
      </c>
      <c r="H26" s="3">
        <v>8467</v>
      </c>
      <c r="I26" s="3">
        <v>400000</v>
      </c>
    </row>
    <row r="27" spans="1:9" x14ac:dyDescent="0.2">
      <c r="A27" s="14" t="str">
        <f t="shared" si="0"/>
        <v>Act CAR_2_Naïve_High_2</v>
      </c>
      <c r="B27" s="1" t="s">
        <v>13</v>
      </c>
      <c r="C27" s="1">
        <v>2</v>
      </c>
      <c r="D27" s="1" t="s">
        <v>9</v>
      </c>
      <c r="E27" s="1" t="s">
        <v>5</v>
      </c>
      <c r="F27" s="1">
        <v>2</v>
      </c>
      <c r="G27" s="28">
        <f>H27+I27</f>
        <v>267633</v>
      </c>
      <c r="H27" s="3">
        <v>1811</v>
      </c>
      <c r="I27" s="3">
        <v>265822</v>
      </c>
    </row>
    <row r="28" spans="1:9" x14ac:dyDescent="0.2">
      <c r="A28" s="14" t="str">
        <f t="shared" si="0"/>
        <v>Act CAR_2_EM_Low_2</v>
      </c>
      <c r="B28" s="1" t="s">
        <v>13</v>
      </c>
      <c r="C28" s="1">
        <v>2</v>
      </c>
      <c r="D28" s="1" t="s">
        <v>10</v>
      </c>
      <c r="E28" s="1" t="s">
        <v>4</v>
      </c>
      <c r="F28" s="1">
        <v>2</v>
      </c>
      <c r="G28" s="28">
        <v>750000</v>
      </c>
      <c r="H28" s="35"/>
      <c r="I28" s="35"/>
    </row>
    <row r="29" spans="1:9" x14ac:dyDescent="0.2">
      <c r="A29" s="14" t="str">
        <f t="shared" si="0"/>
        <v>Act CAR_2_EM_High_2</v>
      </c>
      <c r="B29" s="1" t="s">
        <v>13</v>
      </c>
      <c r="C29" s="1">
        <v>2</v>
      </c>
      <c r="D29" s="1" t="s">
        <v>10</v>
      </c>
      <c r="E29" s="1" t="s">
        <v>5</v>
      </c>
      <c r="F29" s="1">
        <v>2</v>
      </c>
      <c r="G29" s="28">
        <v>750000</v>
      </c>
      <c r="H29" s="35"/>
      <c r="I29" s="35"/>
    </row>
    <row r="30" spans="1:9" x14ac:dyDescent="0.2">
      <c r="A30" s="14" t="str">
        <f t="shared" si="0"/>
        <v>Act CAR_2_CM_Low_2</v>
      </c>
      <c r="B30" s="1" t="s">
        <v>13</v>
      </c>
      <c r="C30" s="1">
        <v>2</v>
      </c>
      <c r="D30" s="1" t="s">
        <v>11</v>
      </c>
      <c r="E30" s="2" t="s">
        <v>4</v>
      </c>
      <c r="F30" s="1">
        <v>2</v>
      </c>
      <c r="G30" s="28">
        <v>128845</v>
      </c>
      <c r="H30" s="35"/>
      <c r="I30" s="35"/>
    </row>
    <row r="31" spans="1:9" x14ac:dyDescent="0.2">
      <c r="A31" s="14" t="str">
        <f t="shared" si="0"/>
        <v>Act CAR_2_CM_High_2</v>
      </c>
      <c r="B31" s="1" t="s">
        <v>13</v>
      </c>
      <c r="C31" s="1">
        <v>2</v>
      </c>
      <c r="D31" s="1" t="s">
        <v>11</v>
      </c>
      <c r="E31" s="2" t="s">
        <v>5</v>
      </c>
      <c r="F31" s="1">
        <v>2</v>
      </c>
      <c r="G31" s="28">
        <v>35049</v>
      </c>
      <c r="H31" s="35"/>
      <c r="I31" s="35"/>
    </row>
    <row r="32" spans="1:9" x14ac:dyDescent="0.2">
      <c r="A32" s="14" t="str">
        <f t="shared" si="0"/>
        <v>Act CAR_2_Naïve_Low_3</v>
      </c>
      <c r="B32" s="1" t="s">
        <v>13</v>
      </c>
      <c r="C32" s="1">
        <v>2</v>
      </c>
      <c r="D32" s="1" t="s">
        <v>9</v>
      </c>
      <c r="E32" s="1" t="s">
        <v>4</v>
      </c>
      <c r="F32" s="1">
        <v>3</v>
      </c>
      <c r="G32" s="28">
        <f>H32+I32</f>
        <v>408861</v>
      </c>
      <c r="H32" s="3">
        <v>8861</v>
      </c>
      <c r="I32" s="3">
        <v>400000</v>
      </c>
    </row>
    <row r="33" spans="1:9" x14ac:dyDescent="0.2">
      <c r="A33" s="14" t="str">
        <f t="shared" si="0"/>
        <v>Act CAR_2_Naïve_High_3</v>
      </c>
      <c r="B33" s="1" t="s">
        <v>13</v>
      </c>
      <c r="C33" s="1">
        <v>2</v>
      </c>
      <c r="D33" s="1" t="s">
        <v>9</v>
      </c>
      <c r="E33" s="1" t="s">
        <v>5</v>
      </c>
      <c r="F33" s="1">
        <v>3</v>
      </c>
      <c r="G33" s="28">
        <f>H33+I33</f>
        <v>243406</v>
      </c>
      <c r="H33" s="3">
        <v>1867</v>
      </c>
      <c r="I33" s="3">
        <v>241539</v>
      </c>
    </row>
    <row r="34" spans="1:9" x14ac:dyDescent="0.2">
      <c r="A34" s="14" t="str">
        <f t="shared" si="0"/>
        <v>Act CAR_2_EM_Low_3</v>
      </c>
      <c r="B34" s="1" t="s">
        <v>13</v>
      </c>
      <c r="C34" s="1">
        <v>2</v>
      </c>
      <c r="D34" s="1" t="s">
        <v>10</v>
      </c>
      <c r="E34" s="1" t="s">
        <v>4</v>
      </c>
      <c r="F34" s="1">
        <v>3</v>
      </c>
      <c r="G34" s="28">
        <v>750000</v>
      </c>
      <c r="H34" s="35"/>
      <c r="I34" s="35"/>
    </row>
    <row r="35" spans="1:9" x14ac:dyDescent="0.2">
      <c r="A35" s="14" t="str">
        <f t="shared" si="0"/>
        <v>Act CAR_2_EM_High_3</v>
      </c>
      <c r="B35" s="1" t="s">
        <v>13</v>
      </c>
      <c r="C35" s="1">
        <v>2</v>
      </c>
      <c r="D35" s="1" t="s">
        <v>10</v>
      </c>
      <c r="E35" s="1" t="s">
        <v>5</v>
      </c>
      <c r="F35" s="1">
        <v>3</v>
      </c>
      <c r="G35" s="28">
        <v>750000</v>
      </c>
      <c r="H35" s="35"/>
      <c r="I35" s="35"/>
    </row>
    <row r="36" spans="1:9" x14ac:dyDescent="0.2">
      <c r="A36" s="14" t="str">
        <f t="shared" si="0"/>
        <v>Act CAR_2_CM_Low_3</v>
      </c>
      <c r="B36" s="1" t="s">
        <v>13</v>
      </c>
      <c r="C36" s="1">
        <v>2</v>
      </c>
      <c r="D36" s="1" t="s">
        <v>11</v>
      </c>
      <c r="E36" s="2" t="s">
        <v>4</v>
      </c>
      <c r="F36" s="1">
        <v>3</v>
      </c>
      <c r="G36" s="28">
        <v>125158</v>
      </c>
      <c r="H36" s="35"/>
      <c r="I36" s="35"/>
    </row>
    <row r="37" spans="1:9" ht="17" thickBot="1" x14ac:dyDescent="0.25">
      <c r="A37" s="15" t="str">
        <f t="shared" si="0"/>
        <v>Act CAR_2_CM_High_3</v>
      </c>
      <c r="B37" s="16" t="s">
        <v>13</v>
      </c>
      <c r="C37" s="16">
        <v>2</v>
      </c>
      <c r="D37" s="16" t="s">
        <v>11</v>
      </c>
      <c r="E37" s="17" t="s">
        <v>5</v>
      </c>
      <c r="F37" s="16">
        <v>3</v>
      </c>
      <c r="G37" s="34">
        <v>35042</v>
      </c>
      <c r="H37" s="35"/>
      <c r="I37" s="35"/>
    </row>
    <row r="38" spans="1:9" ht="17" thickTop="1" x14ac:dyDescent="0.2">
      <c r="A38" s="13" t="str">
        <f t="shared" si="0"/>
        <v>CAR:K562_2_Naïve_Low_1</v>
      </c>
      <c r="B38" s="4" t="s">
        <v>14</v>
      </c>
      <c r="C38" s="4">
        <v>2</v>
      </c>
      <c r="D38" s="4" t="s">
        <v>9</v>
      </c>
      <c r="E38" s="4" t="s">
        <v>4</v>
      </c>
      <c r="F38" s="4">
        <v>1</v>
      </c>
      <c r="G38" s="30">
        <f>H38+I38</f>
        <v>43255</v>
      </c>
      <c r="H38" s="3">
        <v>8725</v>
      </c>
      <c r="I38" s="3">
        <v>34530</v>
      </c>
    </row>
    <row r="39" spans="1:9" x14ac:dyDescent="0.2">
      <c r="A39" s="5" t="str">
        <f t="shared" si="0"/>
        <v>CAR:K562_2_Naïve_High_1</v>
      </c>
      <c r="B39" s="1" t="s">
        <v>14</v>
      </c>
      <c r="C39" s="1">
        <v>2</v>
      </c>
      <c r="D39" s="1" t="s">
        <v>9</v>
      </c>
      <c r="E39" s="1" t="s">
        <v>5</v>
      </c>
      <c r="F39" s="1">
        <v>1</v>
      </c>
      <c r="G39" s="28">
        <f>H39+I39</f>
        <v>121035</v>
      </c>
      <c r="H39" s="3">
        <v>27306</v>
      </c>
      <c r="I39" s="3">
        <v>93729</v>
      </c>
    </row>
    <row r="40" spans="1:9" x14ac:dyDescent="0.2">
      <c r="A40" s="5" t="str">
        <f t="shared" si="0"/>
        <v>CAR:K562_2_EM_Low_1</v>
      </c>
      <c r="B40" s="1" t="s">
        <v>14</v>
      </c>
      <c r="C40" s="1">
        <v>2</v>
      </c>
      <c r="D40" s="1" t="s">
        <v>10</v>
      </c>
      <c r="E40" s="1" t="s">
        <v>4</v>
      </c>
      <c r="F40" s="1">
        <v>1</v>
      </c>
      <c r="G40" s="28">
        <v>61709</v>
      </c>
      <c r="H40" s="35"/>
      <c r="I40" s="35"/>
    </row>
    <row r="41" spans="1:9" x14ac:dyDescent="0.2">
      <c r="A41" s="5" t="str">
        <f t="shared" si="0"/>
        <v>CAR:K562_2_EM_High_1</v>
      </c>
      <c r="B41" s="1" t="s">
        <v>14</v>
      </c>
      <c r="C41" s="1">
        <v>2</v>
      </c>
      <c r="D41" s="1" t="s">
        <v>10</v>
      </c>
      <c r="E41" s="1" t="s">
        <v>5</v>
      </c>
      <c r="F41" s="1">
        <v>1</v>
      </c>
      <c r="G41" s="28">
        <v>509212</v>
      </c>
      <c r="H41" s="35"/>
      <c r="I41" s="35"/>
    </row>
    <row r="42" spans="1:9" x14ac:dyDescent="0.2">
      <c r="A42" s="5" t="str">
        <f t="shared" si="0"/>
        <v>CAR:K562_2_CM_Low_1</v>
      </c>
      <c r="B42" s="1" t="s">
        <v>14</v>
      </c>
      <c r="C42" s="1">
        <v>2</v>
      </c>
      <c r="D42" s="1" t="s">
        <v>11</v>
      </c>
      <c r="E42" s="2" t="s">
        <v>4</v>
      </c>
      <c r="F42" s="1">
        <v>1</v>
      </c>
      <c r="G42" s="28">
        <v>23543</v>
      </c>
      <c r="H42" s="35"/>
      <c r="I42" s="35"/>
    </row>
    <row r="43" spans="1:9" x14ac:dyDescent="0.2">
      <c r="A43" s="5" t="str">
        <f t="shared" si="0"/>
        <v>CAR:K562_2_CM_High_1</v>
      </c>
      <c r="B43" s="1" t="s">
        <v>14</v>
      </c>
      <c r="C43" s="1">
        <v>2</v>
      </c>
      <c r="D43" s="1" t="s">
        <v>11</v>
      </c>
      <c r="E43" s="2" t="s">
        <v>5</v>
      </c>
      <c r="F43" s="1">
        <v>1</v>
      </c>
      <c r="G43" s="28">
        <v>81130</v>
      </c>
      <c r="H43" s="35"/>
      <c r="I43" s="35"/>
    </row>
    <row r="44" spans="1:9" x14ac:dyDescent="0.2">
      <c r="A44" s="5" t="str">
        <f t="shared" si="0"/>
        <v>CAR:K562_2_Naïve_Low_2</v>
      </c>
      <c r="B44" s="1" t="s">
        <v>14</v>
      </c>
      <c r="C44" s="1">
        <v>2</v>
      </c>
      <c r="D44" s="1" t="s">
        <v>9</v>
      </c>
      <c r="E44" s="1" t="s">
        <v>4</v>
      </c>
      <c r="F44" s="1">
        <v>2</v>
      </c>
      <c r="G44" s="28">
        <f>H44+I44</f>
        <v>74930</v>
      </c>
      <c r="H44" s="3">
        <v>11862</v>
      </c>
      <c r="I44" s="3">
        <v>63068</v>
      </c>
    </row>
    <row r="45" spans="1:9" x14ac:dyDescent="0.2">
      <c r="A45" s="5" t="str">
        <f t="shared" si="0"/>
        <v>CAR:K562_2_Naïve_High_2</v>
      </c>
      <c r="B45" s="1" t="s">
        <v>14</v>
      </c>
      <c r="C45" s="1">
        <v>2</v>
      </c>
      <c r="D45" s="1" t="s">
        <v>9</v>
      </c>
      <c r="E45" s="1" t="s">
        <v>5</v>
      </c>
      <c r="F45" s="1">
        <v>2</v>
      </c>
      <c r="G45" s="28">
        <f>H45+I45</f>
        <v>145438</v>
      </c>
      <c r="H45" s="3">
        <v>21442</v>
      </c>
      <c r="I45" s="3">
        <v>123996</v>
      </c>
    </row>
    <row r="46" spans="1:9" x14ac:dyDescent="0.2">
      <c r="A46" s="5" t="str">
        <f t="shared" si="0"/>
        <v>CAR:K562_2_EM_Low_2</v>
      </c>
      <c r="B46" s="1" t="s">
        <v>14</v>
      </c>
      <c r="C46" s="1">
        <v>2</v>
      </c>
      <c r="D46" s="1" t="s">
        <v>10</v>
      </c>
      <c r="E46" s="1" t="s">
        <v>4</v>
      </c>
      <c r="F46" s="1">
        <v>2</v>
      </c>
      <c r="G46" s="28">
        <v>102436</v>
      </c>
      <c r="H46" s="35"/>
      <c r="I46" s="35"/>
    </row>
    <row r="47" spans="1:9" x14ac:dyDescent="0.2">
      <c r="A47" s="5" t="str">
        <f t="shared" si="0"/>
        <v>CAR:K562_2_EM_High_2</v>
      </c>
      <c r="B47" s="1" t="s">
        <v>14</v>
      </c>
      <c r="C47" s="1">
        <v>2</v>
      </c>
      <c r="D47" s="1" t="s">
        <v>10</v>
      </c>
      <c r="E47" s="1" t="s">
        <v>5</v>
      </c>
      <c r="F47" s="1">
        <v>2</v>
      </c>
      <c r="G47" s="28">
        <v>578691</v>
      </c>
      <c r="H47" s="35"/>
      <c r="I47" s="35"/>
    </row>
    <row r="48" spans="1:9" x14ac:dyDescent="0.2">
      <c r="A48" s="5" t="str">
        <f t="shared" si="0"/>
        <v>CAR:K562_2_CM_Low_2</v>
      </c>
      <c r="B48" s="1" t="s">
        <v>14</v>
      </c>
      <c r="C48" s="1">
        <v>2</v>
      </c>
      <c r="D48" s="1" t="s">
        <v>11</v>
      </c>
      <c r="E48" s="2" t="s">
        <v>4</v>
      </c>
      <c r="F48" s="1">
        <v>2</v>
      </c>
      <c r="G48" s="28">
        <v>35029</v>
      </c>
      <c r="H48" s="35"/>
      <c r="I48" s="35"/>
    </row>
    <row r="49" spans="1:9" x14ac:dyDescent="0.2">
      <c r="A49" s="5" t="str">
        <f t="shared" si="0"/>
        <v>CAR:K562_2_CM_High_2</v>
      </c>
      <c r="B49" s="1" t="s">
        <v>14</v>
      </c>
      <c r="C49" s="1">
        <v>2</v>
      </c>
      <c r="D49" s="1" t="s">
        <v>11</v>
      </c>
      <c r="E49" s="2" t="s">
        <v>5</v>
      </c>
      <c r="F49" s="1">
        <v>2</v>
      </c>
      <c r="G49" s="28">
        <v>100078</v>
      </c>
      <c r="H49" s="35"/>
      <c r="I49" s="35"/>
    </row>
    <row r="50" spans="1:9" x14ac:dyDescent="0.2">
      <c r="A50" s="5" t="str">
        <f t="shared" si="0"/>
        <v>CAR:K562_2_Naïve_Low_3</v>
      </c>
      <c r="B50" s="1" t="s">
        <v>14</v>
      </c>
      <c r="C50" s="1">
        <v>2</v>
      </c>
      <c r="D50" s="1" t="s">
        <v>9</v>
      </c>
      <c r="E50" s="1" t="s">
        <v>4</v>
      </c>
      <c r="F50" s="1">
        <v>3</v>
      </c>
      <c r="G50" s="28">
        <f>H50+I50</f>
        <v>87113</v>
      </c>
      <c r="H50" s="3">
        <v>13450</v>
      </c>
      <c r="I50" s="3">
        <v>73663</v>
      </c>
    </row>
    <row r="51" spans="1:9" x14ac:dyDescent="0.2">
      <c r="A51" s="5" t="str">
        <f t="shared" si="0"/>
        <v>CAR:K562_2_Naïve_High_3</v>
      </c>
      <c r="B51" s="1" t="s">
        <v>14</v>
      </c>
      <c r="C51" s="1">
        <v>2</v>
      </c>
      <c r="D51" s="1" t="s">
        <v>9</v>
      </c>
      <c r="E51" s="1" t="s">
        <v>5</v>
      </c>
      <c r="F51" s="1">
        <v>3</v>
      </c>
      <c r="G51" s="28">
        <f>H51+I51</f>
        <v>159688</v>
      </c>
      <c r="H51" s="3">
        <v>22887</v>
      </c>
      <c r="I51" s="3">
        <v>136801</v>
      </c>
    </row>
    <row r="52" spans="1:9" x14ac:dyDescent="0.2">
      <c r="A52" s="5" t="str">
        <f t="shared" si="0"/>
        <v>CAR:K562_2_EM_Low_3</v>
      </c>
      <c r="B52" s="1" t="s">
        <v>14</v>
      </c>
      <c r="C52" s="1">
        <v>2</v>
      </c>
      <c r="D52" s="1" t="s">
        <v>10</v>
      </c>
      <c r="E52" s="1" t="s">
        <v>4</v>
      </c>
      <c r="F52" s="1">
        <v>3</v>
      </c>
      <c r="G52" s="28">
        <v>106505</v>
      </c>
      <c r="H52" s="35"/>
      <c r="I52" s="35"/>
    </row>
    <row r="53" spans="1:9" x14ac:dyDescent="0.2">
      <c r="A53" s="5" t="str">
        <f t="shared" si="0"/>
        <v>CAR:K562_2_EM_High_3</v>
      </c>
      <c r="B53" s="1" t="s">
        <v>14</v>
      </c>
      <c r="C53" s="1">
        <v>2</v>
      </c>
      <c r="D53" s="1" t="s">
        <v>10</v>
      </c>
      <c r="E53" s="1" t="s">
        <v>5</v>
      </c>
      <c r="F53" s="1">
        <v>3</v>
      </c>
      <c r="G53" s="28">
        <v>589872</v>
      </c>
      <c r="H53" s="35"/>
      <c r="I53" s="35"/>
    </row>
    <row r="54" spans="1:9" x14ac:dyDescent="0.2">
      <c r="A54" s="5" t="str">
        <f t="shared" si="0"/>
        <v>CAR:K562_2_CM_Low_3</v>
      </c>
      <c r="B54" s="1" t="s">
        <v>14</v>
      </c>
      <c r="C54" s="1">
        <v>2</v>
      </c>
      <c r="D54" s="1" t="s">
        <v>11</v>
      </c>
      <c r="E54" s="2" t="s">
        <v>4</v>
      </c>
      <c r="F54" s="1">
        <v>3</v>
      </c>
      <c r="G54" s="28">
        <v>33692</v>
      </c>
      <c r="H54" s="35"/>
      <c r="I54" s="35"/>
    </row>
    <row r="55" spans="1:9" ht="17" thickBot="1" x14ac:dyDescent="0.25">
      <c r="A55" s="6" t="str">
        <f t="shared" si="0"/>
        <v>CAR:K562_2_CM_High_3</v>
      </c>
      <c r="B55" s="7" t="s">
        <v>14</v>
      </c>
      <c r="C55" s="7">
        <v>2</v>
      </c>
      <c r="D55" s="7" t="s">
        <v>11</v>
      </c>
      <c r="E55" s="8" t="s">
        <v>5</v>
      </c>
      <c r="F55" s="7">
        <v>3</v>
      </c>
      <c r="G55" s="34">
        <v>96003</v>
      </c>
      <c r="H55" s="35"/>
      <c r="I55" s="35"/>
    </row>
    <row r="56" spans="1:9" ht="17" thickTop="1" x14ac:dyDescent="0.2">
      <c r="A56" s="26" t="str">
        <f t="shared" si="0"/>
        <v>CAR:Raji_2_Naïve_Low_1</v>
      </c>
      <c r="B56" s="4" t="s">
        <v>15</v>
      </c>
      <c r="C56" s="4">
        <v>2</v>
      </c>
      <c r="D56" s="4" t="s">
        <v>9</v>
      </c>
      <c r="E56" s="4" t="s">
        <v>4</v>
      </c>
      <c r="F56" s="4">
        <v>1</v>
      </c>
      <c r="G56" s="30">
        <f>H56+I56</f>
        <v>170014</v>
      </c>
      <c r="H56" s="3">
        <v>109464</v>
      </c>
      <c r="I56" s="3">
        <v>60550</v>
      </c>
    </row>
    <row r="57" spans="1:9" x14ac:dyDescent="0.2">
      <c r="A57" s="9" t="str">
        <f t="shared" si="0"/>
        <v>CAR:Raji_2_Naïve_High_1</v>
      </c>
      <c r="B57" s="1" t="s">
        <v>15</v>
      </c>
      <c r="C57" s="1">
        <v>2</v>
      </c>
      <c r="D57" s="1" t="s">
        <v>9</v>
      </c>
      <c r="E57" s="1" t="s">
        <v>5</v>
      </c>
      <c r="F57" s="1">
        <v>1</v>
      </c>
      <c r="G57" s="28">
        <f>H57+I57</f>
        <v>169563</v>
      </c>
      <c r="H57" s="3">
        <v>32657</v>
      </c>
      <c r="I57" s="3">
        <v>136906</v>
      </c>
    </row>
    <row r="58" spans="1:9" x14ac:dyDescent="0.2">
      <c r="A58" s="9" t="str">
        <f t="shared" si="0"/>
        <v>CAR:Raji_2_EM_Low_1</v>
      </c>
      <c r="B58" s="1" t="s">
        <v>15</v>
      </c>
      <c r="C58" s="1">
        <v>2</v>
      </c>
      <c r="D58" s="1" t="s">
        <v>10</v>
      </c>
      <c r="E58" s="1" t="s">
        <v>4</v>
      </c>
      <c r="F58" s="1">
        <v>1</v>
      </c>
      <c r="G58" s="28">
        <v>246631</v>
      </c>
      <c r="H58" s="35"/>
      <c r="I58" s="35"/>
    </row>
    <row r="59" spans="1:9" x14ac:dyDescent="0.2">
      <c r="A59" s="9" t="str">
        <f t="shared" si="0"/>
        <v>CAR:Raji_2_EM_High_1</v>
      </c>
      <c r="B59" s="1" t="s">
        <v>15</v>
      </c>
      <c r="C59" s="1">
        <v>2</v>
      </c>
      <c r="D59" s="1" t="s">
        <v>10</v>
      </c>
      <c r="E59" s="1" t="s">
        <v>5</v>
      </c>
      <c r="F59" s="1">
        <v>1</v>
      </c>
      <c r="G59" s="28">
        <v>750000</v>
      </c>
      <c r="H59" s="35"/>
      <c r="I59" s="35"/>
    </row>
    <row r="60" spans="1:9" x14ac:dyDescent="0.2">
      <c r="A60" s="9" t="str">
        <f t="shared" si="0"/>
        <v>CAR:Raji_2_CM_Low_1</v>
      </c>
      <c r="B60" s="1" t="s">
        <v>15</v>
      </c>
      <c r="C60" s="1">
        <v>2</v>
      </c>
      <c r="D60" s="1" t="s">
        <v>11</v>
      </c>
      <c r="E60" s="2" t="s">
        <v>4</v>
      </c>
      <c r="F60" s="1">
        <v>1</v>
      </c>
      <c r="G60" s="28">
        <v>20410</v>
      </c>
      <c r="H60" s="35"/>
      <c r="I60" s="35"/>
    </row>
    <row r="61" spans="1:9" x14ac:dyDescent="0.2">
      <c r="A61" s="9" t="str">
        <f t="shared" si="0"/>
        <v>CAR:Raji_2_CM_High_1</v>
      </c>
      <c r="B61" s="1" t="s">
        <v>15</v>
      </c>
      <c r="C61" s="1">
        <v>2</v>
      </c>
      <c r="D61" s="1" t="s">
        <v>11</v>
      </c>
      <c r="E61" s="2" t="s">
        <v>5</v>
      </c>
      <c r="F61" s="1">
        <v>1</v>
      </c>
      <c r="G61" s="28">
        <v>45092</v>
      </c>
      <c r="H61" s="35"/>
      <c r="I61" s="35"/>
    </row>
    <row r="62" spans="1:9" x14ac:dyDescent="0.2">
      <c r="A62" s="9" t="str">
        <f t="shared" si="0"/>
        <v>CAR:Raji_2_Naïve_Low_2</v>
      </c>
      <c r="B62" s="1" t="s">
        <v>15</v>
      </c>
      <c r="C62" s="1">
        <v>2</v>
      </c>
      <c r="D62" s="1" t="s">
        <v>9</v>
      </c>
      <c r="E62" s="1" t="s">
        <v>4</v>
      </c>
      <c r="F62" s="1">
        <v>2</v>
      </c>
      <c r="G62" s="28">
        <f>H62+I62</f>
        <v>219510</v>
      </c>
      <c r="H62" s="3">
        <v>134489</v>
      </c>
      <c r="I62" s="3">
        <v>85021</v>
      </c>
    </row>
    <row r="63" spans="1:9" x14ac:dyDescent="0.2">
      <c r="A63" s="9" t="str">
        <f t="shared" si="0"/>
        <v>CAR:Raji_2_Naïve_High_2</v>
      </c>
      <c r="B63" s="1" t="s">
        <v>15</v>
      </c>
      <c r="C63" s="1">
        <v>2</v>
      </c>
      <c r="D63" s="1" t="s">
        <v>9</v>
      </c>
      <c r="E63" s="1" t="s">
        <v>5</v>
      </c>
      <c r="F63" s="1">
        <v>2</v>
      </c>
      <c r="G63" s="28">
        <f>H63+I63</f>
        <v>219579</v>
      </c>
      <c r="H63" s="3">
        <v>37455</v>
      </c>
      <c r="I63" s="3">
        <v>182124</v>
      </c>
    </row>
    <row r="64" spans="1:9" x14ac:dyDescent="0.2">
      <c r="A64" s="9" t="str">
        <f t="shared" si="0"/>
        <v>CAR:Raji_2_EM_Low_2</v>
      </c>
      <c r="B64" s="1" t="s">
        <v>15</v>
      </c>
      <c r="C64" s="1">
        <v>2</v>
      </c>
      <c r="D64" s="1" t="s">
        <v>10</v>
      </c>
      <c r="E64" s="1" t="s">
        <v>4</v>
      </c>
      <c r="F64" s="1">
        <v>2</v>
      </c>
      <c r="G64" s="28">
        <v>327551</v>
      </c>
      <c r="H64" s="35"/>
      <c r="I64" s="35"/>
    </row>
    <row r="65" spans="1:9" x14ac:dyDescent="0.2">
      <c r="A65" s="9" t="str">
        <f t="shared" si="0"/>
        <v>CAR:Raji_2_EM_High_2</v>
      </c>
      <c r="B65" s="1" t="s">
        <v>15</v>
      </c>
      <c r="C65" s="1">
        <v>2</v>
      </c>
      <c r="D65" s="1" t="s">
        <v>10</v>
      </c>
      <c r="E65" s="1" t="s">
        <v>5</v>
      </c>
      <c r="F65" s="1">
        <v>2</v>
      </c>
      <c r="G65" s="28">
        <v>750000</v>
      </c>
      <c r="H65" s="35"/>
      <c r="I65" s="35"/>
    </row>
    <row r="66" spans="1:9" x14ac:dyDescent="0.2">
      <c r="A66" s="9" t="str">
        <f t="shared" si="0"/>
        <v>CAR:Raji_2_CM_Low_2</v>
      </c>
      <c r="B66" s="1" t="s">
        <v>15</v>
      </c>
      <c r="C66" s="1">
        <v>2</v>
      </c>
      <c r="D66" s="1" t="s">
        <v>11</v>
      </c>
      <c r="E66" s="2" t="s">
        <v>4</v>
      </c>
      <c r="F66" s="1">
        <v>2</v>
      </c>
      <c r="G66" s="28">
        <v>25648</v>
      </c>
      <c r="H66" s="35"/>
      <c r="I66" s="35"/>
    </row>
    <row r="67" spans="1:9" x14ac:dyDescent="0.2">
      <c r="A67" s="9" t="str">
        <f t="shared" ref="A67:A73" si="1">CONCATENATE(B67,"_", C67,"_", D67, "_", E67, "_", F67)</f>
        <v>CAR:Raji_2_CM_High_2</v>
      </c>
      <c r="B67" s="1" t="s">
        <v>15</v>
      </c>
      <c r="C67" s="1">
        <v>2</v>
      </c>
      <c r="D67" s="1" t="s">
        <v>11</v>
      </c>
      <c r="E67" s="2" t="s">
        <v>5</v>
      </c>
      <c r="F67" s="1">
        <v>2</v>
      </c>
      <c r="G67" s="28">
        <v>55010</v>
      </c>
      <c r="H67" s="35"/>
      <c r="I67" s="35"/>
    </row>
    <row r="68" spans="1:9" x14ac:dyDescent="0.2">
      <c r="A68" s="9" t="str">
        <f t="shared" si="1"/>
        <v>CAR:Raji_2_Naïve_Low_3</v>
      </c>
      <c r="B68" s="1" t="s">
        <v>15</v>
      </c>
      <c r="C68" s="1">
        <v>2</v>
      </c>
      <c r="D68" s="1" t="s">
        <v>9</v>
      </c>
      <c r="E68" s="1" t="s">
        <v>4</v>
      </c>
      <c r="F68" s="1">
        <v>3</v>
      </c>
      <c r="G68" s="28">
        <f>H68+I68</f>
        <v>169211</v>
      </c>
      <c r="H68" s="3">
        <v>98215</v>
      </c>
      <c r="I68" s="3">
        <v>70996</v>
      </c>
    </row>
    <row r="69" spans="1:9" x14ac:dyDescent="0.2">
      <c r="A69" s="9" t="str">
        <f t="shared" si="1"/>
        <v>CAR:Raji_2_Naïve_High_3</v>
      </c>
      <c r="B69" s="1" t="s">
        <v>15</v>
      </c>
      <c r="C69" s="1">
        <v>2</v>
      </c>
      <c r="D69" s="1" t="s">
        <v>9</v>
      </c>
      <c r="E69" s="1" t="s">
        <v>5</v>
      </c>
      <c r="F69" s="1">
        <v>3</v>
      </c>
      <c r="G69" s="28">
        <f>H69+I69</f>
        <v>177116</v>
      </c>
      <c r="H69" s="3">
        <v>27097</v>
      </c>
      <c r="I69" s="3">
        <v>150019</v>
      </c>
    </row>
    <row r="70" spans="1:9" x14ac:dyDescent="0.2">
      <c r="A70" s="9" t="str">
        <f t="shared" si="1"/>
        <v>CAR:Raji_2_EM_Low_3</v>
      </c>
      <c r="B70" s="1" t="s">
        <v>15</v>
      </c>
      <c r="C70" s="1">
        <v>2</v>
      </c>
      <c r="D70" s="1" t="s">
        <v>10</v>
      </c>
      <c r="E70" s="1" t="s">
        <v>4</v>
      </c>
      <c r="F70" s="1">
        <v>3</v>
      </c>
      <c r="G70" s="28">
        <v>252595</v>
      </c>
      <c r="H70" s="35"/>
      <c r="I70" s="35"/>
    </row>
    <row r="71" spans="1:9" x14ac:dyDescent="0.2">
      <c r="A71" s="9" t="str">
        <f t="shared" si="1"/>
        <v>CAR:Raji_2_EM_High_3</v>
      </c>
      <c r="B71" s="1" t="s">
        <v>15</v>
      </c>
      <c r="C71" s="1">
        <v>2</v>
      </c>
      <c r="D71" s="1" t="s">
        <v>10</v>
      </c>
      <c r="E71" s="1" t="s">
        <v>5</v>
      </c>
      <c r="F71" s="1">
        <v>3</v>
      </c>
      <c r="G71" s="28">
        <v>750000</v>
      </c>
      <c r="H71" s="35"/>
      <c r="I71" s="35"/>
    </row>
    <row r="72" spans="1:9" x14ac:dyDescent="0.2">
      <c r="A72" s="9" t="str">
        <f t="shared" si="1"/>
        <v>CAR:Raji_2_CM_Low_3</v>
      </c>
      <c r="B72" s="1" t="s">
        <v>15</v>
      </c>
      <c r="C72" s="1">
        <v>2</v>
      </c>
      <c r="D72" s="1" t="s">
        <v>11</v>
      </c>
      <c r="E72" s="2" t="s">
        <v>4</v>
      </c>
      <c r="F72" s="1">
        <v>3</v>
      </c>
      <c r="G72" s="28">
        <v>18418</v>
      </c>
      <c r="H72" s="35"/>
      <c r="I72" s="35"/>
    </row>
    <row r="73" spans="1:9" ht="17" thickBot="1" x14ac:dyDescent="0.25">
      <c r="A73" s="10" t="str">
        <f t="shared" si="1"/>
        <v>CAR:Raji_2_CM_High_3</v>
      </c>
      <c r="B73" s="11" t="s">
        <v>15</v>
      </c>
      <c r="C73" s="11">
        <v>2</v>
      </c>
      <c r="D73" s="11" t="s">
        <v>11</v>
      </c>
      <c r="E73" s="12" t="s">
        <v>5</v>
      </c>
      <c r="F73" s="11">
        <v>3</v>
      </c>
      <c r="G73" s="31">
        <v>38853</v>
      </c>
      <c r="H73" s="35"/>
      <c r="I73" s="35"/>
    </row>
    <row r="74" spans="1:9" ht="17" thickTop="1" x14ac:dyDescent="0.2">
      <c r="C74" s="36"/>
    </row>
  </sheetData>
  <pageMargins left="0.7" right="0.7" top="0.75" bottom="0.75" header="0.3" footer="0.3"/>
  <pageSetup scale="6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HV1</vt:lpstr>
      <vt:lpstr>HV2</vt:lpstr>
      <vt:lpstr>'HV1'!Print_Area</vt:lpstr>
      <vt:lpstr>'HV2'!Print_Area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F. Cordes</dc:creator>
  <cp:lastModifiedBy>Stefan Cordes</cp:lastModifiedBy>
  <cp:lastPrinted>2024-05-23T22:26:28Z</cp:lastPrinted>
  <dcterms:created xsi:type="dcterms:W3CDTF">2024-05-22T16:50:31Z</dcterms:created>
  <dcterms:modified xsi:type="dcterms:W3CDTF">2024-06-20T16:56:46Z</dcterms:modified>
</cp:coreProperties>
</file>