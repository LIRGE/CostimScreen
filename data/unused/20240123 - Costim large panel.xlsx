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a02a67f3f3acd8/ACI/Protocols/Flow-Cytometry/experiment summaries/"/>
    </mc:Choice>
  </mc:AlternateContent>
  <xr:revisionPtr revIDLastSave="54" documentId="8_{8041D807-D5B2-8C49-ABAD-DE4F580550EB}" xr6:coauthVersionLast="47" xr6:coauthVersionMax="47" xr10:uidLastSave="{E8BA1B30-3CB6-ED4D-9460-CA05CFA7883A}"/>
  <bookViews>
    <workbookView xWindow="680" yWindow="740" windowWidth="28040" windowHeight="17260" xr2:uid="{72A7AFE9-0029-354A-B768-18BE82C12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<sst xmlns="http://schemas.openxmlformats.org/spreadsheetml/2006/main" count="25" uniqueCount="21">
  <si>
    <t>Sample</t>
  </si>
  <si>
    <t>Effector-PD1 Low</t>
  </si>
  <si>
    <t>Memory-PD1 Low</t>
  </si>
  <si>
    <t>Effector-PD1 High</t>
  </si>
  <si>
    <t>Memory PD1 High</t>
  </si>
  <si>
    <t>CAR K562 HV7-1</t>
  </si>
  <si>
    <t>CAR K562 HV7-2</t>
  </si>
  <si>
    <t>CAR K562 HV7-3</t>
  </si>
  <si>
    <t>CAR:Raji HV7-1</t>
  </si>
  <si>
    <t>CAR:Raji HV7-2</t>
  </si>
  <si>
    <t>CAR:Raji HV7-3</t>
  </si>
  <si>
    <t>CAR HV7</t>
  </si>
  <si>
    <t>Act CAR HV7</t>
  </si>
  <si>
    <t>EL</t>
  </si>
  <si>
    <t xml:space="preserve">Terminal Effector (CD45RO Low/CCR7 Low) </t>
  </si>
  <si>
    <t>PD1 ca bottom 33%</t>
  </si>
  <si>
    <t>EH</t>
  </si>
  <si>
    <t>PD1 ca top 33%</t>
  </si>
  <si>
    <t>ML</t>
  </si>
  <si>
    <t>Effector Memory (CD45RO High/CCR7 Low) + Central Memory (CD45RO High/CCR7 High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</si>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</sst>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E025-DD65-A14B-A2AE-E7378CB99B31}">
  <dimension ref="A1:P9"/>
  <sheetViews>
    <sheetView showGridLines="0" tabSelected="1" workbookViewId="0">
      <selection activeCell="G10" sqref="G10:H10"/>
    </sheetView>
  </sheetViews>
  <sheetFormatPr baseColWidth="10" defaultRowHeight="16" x14ac:dyDescent="0.2"/>
  <cols>
    <col min="1" max="1" width="14.83203125" bestFit="1" customWidth="1"/>
    <col min="2" max="2" width="15.6640625" bestFit="1" customWidth="1"/>
    <col min="3" max="3" width="16.33203125" bestFit="1" customWidth="1"/>
    <col min="4" max="4" width="15.6640625" bestFit="1" customWidth="1"/>
    <col min="5" max="5" width="15.83203125" bestFit="1" customWidth="1"/>
  </cols>
  <sheetData>
    <row r="1" spans="1:1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16" x14ac:dyDescent="0.2">
      <c r="A2" s="2" t="s">
        <v>5</v>
      </c>
      <c r="B2" s="3">
        <v>7092</v>
      </c>
      <c r="C2" s="3">
        <v>5527</v>
      </c>
      <c r="D2" s="3">
        <f>2269+10268</f>
        <v>12537</v>
      </c>
      <c r="E2" s="3">
        <f>1629+8513</f>
        <v>10142</v>
      </c>
      <c r="H2" t="s">
        <v>13</v>
      </c>
      <c r="I2" t="s">
        <v>14</v>
      </c>
      <c r="P2" t="s">
        <v>15</v>
      </c>
    </row>
    <row r="3" spans="1:16" x14ac:dyDescent="0.2">
      <c r="A3" s="2" t="s">
        <v>6</v>
      </c>
      <c r="B3" s="3">
        <v>15679</v>
      </c>
      <c r="C3" s="3">
        <v>13935</v>
      </c>
      <c r="D3" s="3">
        <f>6119+41141</f>
        <v>47260</v>
      </c>
      <c r="E3" s="3">
        <f>9667+46489</f>
        <v>56156</v>
      </c>
      <c r="H3" t="s">
        <v>16</v>
      </c>
      <c r="I3" t="s">
        <v>14</v>
      </c>
      <c r="P3" t="s">
        <v>17</v>
      </c>
    </row>
    <row r="4" spans="1:16" x14ac:dyDescent="0.2">
      <c r="A4" s="2" t="s">
        <v>7</v>
      </c>
      <c r="B4" s="3">
        <v>35229</v>
      </c>
      <c r="C4" s="3">
        <v>27752</v>
      </c>
      <c r="D4" s="3">
        <f>10251+85379</f>
        <v>95630</v>
      </c>
      <c r="E4" s="3">
        <f>10303+92909</f>
        <v>103212</v>
      </c>
      <c r="H4" t="s">
        <v>18</v>
      </c>
      <c r="I4" t="s">
        <v>19</v>
      </c>
      <c r="P4" t="s">
        <v>15</v>
      </c>
    </row>
    <row r="5" spans="1:16" x14ac:dyDescent="0.2">
      <c r="A5" s="2" t="s">
        <v>8</v>
      </c>
      <c r="B5" s="3">
        <v>461940</v>
      </c>
      <c r="C5" s="3">
        <v>480028</v>
      </c>
      <c r="D5" s="3">
        <f>12143+147137</f>
        <v>159280</v>
      </c>
      <c r="E5" s="3">
        <f>11846+188352</f>
        <v>200198</v>
      </c>
      <c r="H5" t="s">
        <v>20</v>
      </c>
      <c r="I5" t="s">
        <v>19</v>
      </c>
      <c r="P5" t="s">
        <v>17</v>
      </c>
    </row>
    <row r="6" spans="1:16" x14ac:dyDescent="0.2">
      <c r="A6" s="2" t="s">
        <v>9</v>
      </c>
      <c r="B6" s="3">
        <v>557786</v>
      </c>
      <c r="C6" s="3">
        <v>691556</v>
      </c>
      <c r="D6" s="3">
        <f>13399+252164</f>
        <v>265563</v>
      </c>
      <c r="E6" s="3">
        <f>17326+334126</f>
        <v>351452</v>
      </c>
    </row>
    <row r="7" spans="1:16" x14ac:dyDescent="0.2">
      <c r="A7" s="2" t="s">
        <v>10</v>
      </c>
      <c r="B7" s="3">
        <v>596777</v>
      </c>
      <c r="C7" s="3">
        <v>590091</v>
      </c>
      <c r="D7" s="3">
        <f>15185+298377</f>
        <v>313562</v>
      </c>
      <c r="E7" s="3">
        <f>13272+279317</f>
        <v>292589</v>
      </c>
    </row>
    <row r="8" spans="1:16" x14ac:dyDescent="0.2">
      <c r="A8" s="2" t="s">
        <v>11</v>
      </c>
      <c r="B8" s="3">
        <v>195805</v>
      </c>
      <c r="C8" s="3">
        <v>188803</v>
      </c>
      <c r="D8" s="3">
        <f>6515+346860</f>
        <v>353375</v>
      </c>
      <c r="E8" s="3">
        <f>5552+349878</f>
        <v>355430</v>
      </c>
    </row>
    <row r="9" spans="1:16" x14ac:dyDescent="0.2">
      <c r="A9" s="2" t="s">
        <v>12</v>
      </c>
      <c r="B9" s="3">
        <v>192726</v>
      </c>
      <c r="C9" s="3">
        <v>217213</v>
      </c>
      <c r="D9" s="3">
        <f>5768+317328</f>
        <v>323096</v>
      </c>
      <c r="E9" s="3">
        <f>5899+364657</f>
        <v>370556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Cordes</dc:creator>
  <cp:lastModifiedBy>Stefan F. Cordes</cp:lastModifiedBy>
  <dcterms:created xsi:type="dcterms:W3CDTF">2024-01-23T18:48:51Z</dcterms:created>
  <dcterms:modified xsi:type="dcterms:W3CDTF">2026-01-25T20:13:27Z</dcterms:modified>
</cp:coreProperties>
</file>