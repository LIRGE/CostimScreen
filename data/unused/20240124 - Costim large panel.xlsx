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02a67f3f3acd8/ACI/Protocols/Flow-Cytometry/experiment summaries/"/>
    </mc:Choice>
  </mc:AlternateContent>
  <xr:revisionPtr revIDLastSave="45" documentId="8_{0E395282-0F62-0046-A69A-FEB88D4BC11B}" xr6:coauthVersionLast="47" xr6:coauthVersionMax="47" xr10:uidLastSave="{7C397445-33B6-6449-A3A3-1CE84D528551}"/>
  <bookViews>
    <workbookView xWindow="80" yWindow="740" windowWidth="28040" windowHeight="17260" xr2:uid="{72A7AFE9-0029-354A-B768-18BE82C12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E8" i="1"/>
  <c r="D8" i="1"/>
  <c r="E4" i="1"/>
  <c r="D4" i="1"/>
  <c r="E3" i="1"/>
  <c r="D3" i="1"/>
  <c r="E2" i="1"/>
  <c r="D2" i="1"/>
  <c r="E7" i="1"/>
  <c r="D7" i="1"/>
  <c r="E6" i="1"/>
  <c r="D6" i="1"/>
  <c r="E5" i="1"/>
  <c r="D5" i="1"/>
</calcChain>
</file>

<file path=xl/sharedStrings.xml><?xml version="1.0" encoding="utf-8"?>
<sst xmlns="http://schemas.openxmlformats.org/spreadsheetml/2006/main" count="25" uniqueCount="21">
  <si>
    <t>Sample</t>
  </si>
  <si>
    <t>Effector-PD1 Low</t>
  </si>
  <si>
    <t>Memory-PD1 Low</t>
  </si>
  <si>
    <t>Effector-PD1 High</t>
  </si>
  <si>
    <t>Memory PD1 High</t>
  </si>
  <si>
    <t>EL</t>
  </si>
  <si>
    <t xml:space="preserve">Terminal Effector (CD45RO Low/CCR7 Low) </t>
  </si>
  <si>
    <t>PD1 ca bottom 33%</t>
  </si>
  <si>
    <t>EH</t>
  </si>
  <si>
    <t>PD1 ca top 33%</t>
  </si>
  <si>
    <t>ML</t>
  </si>
  <si>
    <t>Effector Memory (CD45RO High/CCR7 Low) + Central Memory (CD45RO High/CCR7 High</t>
  </si>
  <si>
    <t>MH</t>
  </si>
  <si>
    <t>CAR K562 HV8-1</t>
  </si>
  <si>
    <t>CAR K562 HV8-2</t>
  </si>
  <si>
    <t>CAR K562 HV8-3</t>
  </si>
  <si>
    <t>CAR:Raji HV8-1</t>
  </si>
  <si>
    <t>CAR:Raji HV8-2</t>
  </si>
  <si>
    <t>CAR:Raji HV8-3</t>
  </si>
  <si>
    <t>CAR HV8</t>
  </si>
  <si>
    <t>Act CAR HV8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</si>
</sst>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E025-DD65-A14B-A2AE-E7378CB99B31}">
  <dimension ref="A1:P9"/>
  <sheetViews>
    <sheetView showGridLines="0" tabSelected="1" workbookViewId="0">
      <selection activeCell="E10" sqref="E10"/>
    </sheetView>
  </sheetViews>
  <sheetFormatPr baseColWidth="10" defaultRowHeight="16" x14ac:dyDescent="0.2"/>
  <cols>
    <col min="1" max="1" width="14.83203125" bestFit="1" customWidth="1"/>
    <col min="2" max="2" width="15.6640625" bestFit="1" customWidth="1"/>
    <col min="3" max="3" width="16.33203125" bestFit="1" customWidth="1"/>
    <col min="4" max="4" width="15.6640625" bestFit="1" customWidth="1"/>
    <col min="5" max="5" width="15.83203125" bestFit="1" customWidth="1"/>
  </cols>
  <sheetData>
    <row r="1" spans="1:1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16" x14ac:dyDescent="0.2">
      <c r="A2" s="2" t="s">
        <v>13</v>
      </c>
      <c r="B2" s="3">
        <v>13193</v>
      </c>
      <c r="C2" s="3">
        <v>11390</v>
      </c>
      <c r="D2" s="3">
        <f>61995+108530</f>
        <v>170525</v>
      </c>
      <c r="E2" s="3">
        <f>57835+119094</f>
        <v>176929</v>
      </c>
      <c r="H2" t="s">
        <v>5</v>
      </c>
      <c r="I2" t="s">
        <v>6</v>
      </c>
      <c r="P2" t="s">
        <v>7</v>
      </c>
    </row>
    <row r="3" spans="1:16" x14ac:dyDescent="0.2">
      <c r="A3" s="2" t="s">
        <v>14</v>
      </c>
      <c r="B3" s="3">
        <v>16250</v>
      </c>
      <c r="C3" s="3">
        <v>22204</v>
      </c>
      <c r="D3" s="3">
        <f>35559+119063</f>
        <v>154622</v>
      </c>
      <c r="E3" s="3">
        <f>32435+139992</f>
        <v>172427</v>
      </c>
      <c r="H3" t="s">
        <v>8</v>
      </c>
      <c r="I3" t="s">
        <v>6</v>
      </c>
      <c r="P3" t="s">
        <v>9</v>
      </c>
    </row>
    <row r="4" spans="1:16" x14ac:dyDescent="0.2">
      <c r="A4" s="2" t="s">
        <v>15</v>
      </c>
      <c r="B4" s="3">
        <v>13799</v>
      </c>
      <c r="C4" s="3">
        <v>11865</v>
      </c>
      <c r="D4" s="3">
        <f>14293+79886</f>
        <v>94179</v>
      </c>
      <c r="E4" s="3">
        <f>11881+80358</f>
        <v>92239</v>
      </c>
      <c r="H4" t="s">
        <v>10</v>
      </c>
      <c r="I4" t="s">
        <v>11</v>
      </c>
      <c r="P4" t="s">
        <v>7</v>
      </c>
    </row>
    <row r="5" spans="1:16" x14ac:dyDescent="0.2">
      <c r="A5" s="2" t="s">
        <v>16</v>
      </c>
      <c r="B5" s="3">
        <v>252821</v>
      </c>
      <c r="C5" s="3">
        <v>178332</v>
      </c>
      <c r="D5" s="3">
        <f>84510+347787</f>
        <v>432297</v>
      </c>
      <c r="E5" s="3">
        <f>78045+421441</f>
        <v>499486</v>
      </c>
      <c r="H5" t="s">
        <v>12</v>
      </c>
      <c r="I5" t="s">
        <v>11</v>
      </c>
      <c r="P5" t="s">
        <v>9</v>
      </c>
    </row>
    <row r="6" spans="1:16" x14ac:dyDescent="0.2">
      <c r="A6" s="2" t="s">
        <v>17</v>
      </c>
      <c r="B6" s="3">
        <v>292747</v>
      </c>
      <c r="C6" s="3">
        <v>329097</v>
      </c>
      <c r="D6" s="3">
        <f>43368+270085</f>
        <v>313453</v>
      </c>
      <c r="E6" s="3">
        <f>45977+368872</f>
        <v>414849</v>
      </c>
    </row>
    <row r="7" spans="1:16" x14ac:dyDescent="0.2">
      <c r="A7" s="2" t="s">
        <v>18</v>
      </c>
      <c r="B7" s="3">
        <v>527270</v>
      </c>
      <c r="C7" s="3">
        <v>323470</v>
      </c>
      <c r="D7" s="3">
        <f>73703+367494</f>
        <v>441197</v>
      </c>
      <c r="E7" s="3">
        <f>59489+382004</f>
        <v>441493</v>
      </c>
    </row>
    <row r="8" spans="1:16" x14ac:dyDescent="0.2">
      <c r="A8" s="2" t="s">
        <v>19</v>
      </c>
      <c r="B8" s="3">
        <v>113564</v>
      </c>
      <c r="C8" s="3">
        <v>144670</v>
      </c>
      <c r="D8" s="3">
        <f>19460+106865</f>
        <v>126325</v>
      </c>
      <c r="E8" s="3">
        <f>16138+120880</f>
        <v>137018</v>
      </c>
    </row>
    <row r="9" spans="1:16" x14ac:dyDescent="0.2">
      <c r="A9" s="2" t="s">
        <v>20</v>
      </c>
      <c r="B9" s="3">
        <v>14436</v>
      </c>
      <c r="C9" s="3">
        <v>25752</v>
      </c>
      <c r="D9" s="3">
        <f>28161+14232</f>
        <v>42393</v>
      </c>
      <c r="E9" s="3">
        <f>27592+16253</f>
        <v>43845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Cordes</dc:creator>
  <cp:lastModifiedBy>Stefan Cordes</cp:lastModifiedBy>
  <dcterms:created xsi:type="dcterms:W3CDTF">2024-01-23T18:48:51Z</dcterms:created>
  <dcterms:modified xsi:type="dcterms:W3CDTF">2024-01-24T19:42:17Z</dcterms:modified>
</cp:coreProperties>
</file>